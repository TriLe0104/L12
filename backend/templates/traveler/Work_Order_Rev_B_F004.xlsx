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torg14362460.sharepoint.com/sites/TVMJobs/Shared Documents/02. TVM JOB DOCS/06. TVM Template/"/>
    </mc:Choice>
  </mc:AlternateContent>
  <xr:revisionPtr revIDLastSave="8335" documentId="8_{6D84C106-9FA0-4531-A604-8AEA0B599AE1}" xr6:coauthVersionLast="47" xr6:coauthVersionMax="47" xr10:uidLastSave="{F6312C7E-FF42-4610-85B4-F547D6B6DDDE}"/>
  <bookViews>
    <workbookView xWindow="28680" yWindow="-120" windowWidth="29040" windowHeight="15840" xr2:uid="{00000000-000D-0000-FFFF-FFFF00000000}"/>
  </bookViews>
  <sheets>
    <sheet name="Part 555" sheetId="1" r:id="rId1"/>
    <sheet name="Program sheet" sheetId="4" r:id="rId2"/>
    <sheet name="Sheet1" sheetId="5" r:id="rId3"/>
    <sheet name="Mat types" sheetId="3" r:id="rId4"/>
    <sheet name="12202024-3" sheetId="2" r:id="rId5"/>
  </sheets>
  <definedNames>
    <definedName name="_xlnm.Print_Area" localSheetId="0">'Part 555'!$A$1:$AE$57</definedName>
    <definedName name="_xlnm.Print_Area" localSheetId="1">'Program sheet'!$A$1:$F$20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vVaV4ZpvJZzZSavR0zmsrlzU4Q7FaoO7uA6tVVVSas="/>
    </ext>
  </extLst>
</workbook>
</file>

<file path=xl/calcChain.xml><?xml version="1.0" encoding="utf-8"?>
<calcChain xmlns="http://schemas.openxmlformats.org/spreadsheetml/2006/main">
  <c r="AC13" i="1" l="1"/>
  <c r="C2" i="5"/>
  <c r="C3" i="5"/>
  <c r="C4" i="5"/>
  <c r="C5" i="5"/>
  <c r="C6" i="5"/>
  <c r="C7" i="5"/>
  <c r="C8" i="5"/>
  <c r="C9" i="5"/>
  <c r="C10" i="5"/>
  <c r="C11" i="5"/>
  <c r="C1" i="5"/>
  <c r="C12" i="5" l="1"/>
  <c r="A2" i="4"/>
  <c r="C3" i="4" l="1"/>
  <c r="C2" i="4"/>
  <c r="F3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<sst xmlns="http://schemas.openxmlformats.org/spreadsheetml/2006/main" count="308" uniqueCount="170">
  <si>
    <t>Part #</t>
  </si>
  <si>
    <t>QTY</t>
  </si>
  <si>
    <t>Due:</t>
  </si>
  <si>
    <t>WO#</t>
  </si>
  <si>
    <t>Customer:</t>
  </si>
  <si>
    <t>PO #</t>
  </si>
  <si>
    <t>Drawing #</t>
  </si>
  <si>
    <t>Rev</t>
  </si>
  <si>
    <t>Link</t>
  </si>
  <si>
    <t>Model #</t>
  </si>
  <si>
    <t>Material Type:</t>
  </si>
  <si>
    <t>6061 t6</t>
  </si>
  <si>
    <t xml:space="preserve">Material Specification: </t>
  </si>
  <si>
    <t>N/A</t>
  </si>
  <si>
    <t xml:space="preserve">FAI Required? </t>
  </si>
  <si>
    <t>FAI #</t>
  </si>
  <si>
    <t>OP#</t>
  </si>
  <si>
    <t>Description</t>
  </si>
  <si>
    <t>Acc QTY</t>
  </si>
  <si>
    <t>QTY NCR</t>
  </si>
  <si>
    <t>NCR#</t>
  </si>
  <si>
    <t>BY:</t>
  </si>
  <si>
    <t>Date:</t>
  </si>
  <si>
    <t>xyz</t>
  </si>
  <si>
    <t>080625-1</t>
  </si>
  <si>
    <t>Rev 01</t>
  </si>
  <si>
    <t>Production start</t>
  </si>
  <si>
    <r>
      <rPr>
        <sz val="11"/>
        <color theme="1"/>
        <rFont val="Calibri"/>
        <family val="2"/>
      </rPr>
      <t xml:space="preserve">Order Release - First Run
</t>
    </r>
    <r>
      <rPr>
        <sz val="8"/>
        <color theme="1"/>
        <rFont val="Calibri"/>
        <family val="2"/>
      </rPr>
      <t>Verify completion of Contract Review
Print Drawing
Prep AS9102</t>
    </r>
    <r>
      <rPr>
        <sz val="11"/>
        <color theme="1"/>
        <rFont val="Calibri"/>
        <family val="2"/>
      </rPr>
      <t xml:space="preserve"> (if req'd)</t>
    </r>
  </si>
  <si>
    <r>
      <rPr>
        <sz val="11"/>
        <color theme="1"/>
        <rFont val="Calibri"/>
        <family val="2"/>
      </rPr>
      <t xml:space="preserve">Material Prep
</t>
    </r>
    <r>
      <rPr>
        <sz val="8"/>
        <color theme="1"/>
        <rFont val="Calibri"/>
        <family val="2"/>
      </rPr>
      <t>Prep xxx material @ xxx length</t>
    </r>
    <r>
      <rPr>
        <sz val="11"/>
        <color theme="1"/>
        <rFont val="Calibri"/>
        <family val="2"/>
      </rPr>
      <t xml:space="preserve">
Record material Heat Lot(s):
</t>
    </r>
    <r>
      <rPr>
        <sz val="8"/>
        <color theme="1"/>
        <rFont val="Calibri"/>
        <family val="2"/>
      </rPr>
      <t>LOT 1________________
LOT 2________________
LOT 3________________</t>
    </r>
    <r>
      <rPr>
        <sz val="11"/>
        <color theme="1"/>
        <rFont val="Calibri"/>
        <family val="2"/>
      </rPr>
      <t xml:space="preserve">
</t>
    </r>
    <r>
      <rPr>
        <sz val="8"/>
        <color theme="1"/>
        <rFont val="Calibri"/>
        <family val="2"/>
      </rPr>
      <t>Attach copy of material certs</t>
    </r>
  </si>
  <si>
    <r>
      <rPr>
        <sz val="11"/>
        <color theme="1"/>
        <rFont val="Calibri"/>
        <family val="2"/>
      </rPr>
      <t xml:space="preserve">CNC Lathe Setup
</t>
    </r>
    <r>
      <rPr>
        <sz val="8"/>
        <color theme="1"/>
        <rFont val="Calibri"/>
        <family val="2"/>
      </rPr>
      <t xml:space="preserve">
Use xxx fixture
Refer to Setup Sheet xxxx
Run PGM xxxx
Drawing # xxxx
Ensure FOD Free prior to delivery to QC</t>
    </r>
  </si>
  <si>
    <r>
      <rPr>
        <sz val="11"/>
        <color theme="1"/>
        <rFont val="Calibri"/>
        <family val="2"/>
      </rPr>
      <t xml:space="preserve">First Part inspection
</t>
    </r>
    <r>
      <rPr>
        <sz val="8"/>
        <color theme="1"/>
        <rFont val="Calibri"/>
        <family val="2"/>
      </rPr>
      <t>Drawing # xxxx</t>
    </r>
    <r>
      <rPr>
        <sz val="11"/>
        <color theme="1"/>
        <rFont val="Calibri"/>
        <family val="2"/>
      </rPr>
      <t xml:space="preserve">
</t>
    </r>
    <r>
      <rPr>
        <sz val="8"/>
        <color theme="1"/>
        <rFont val="Calibri"/>
        <family val="2"/>
      </rPr>
      <t>Verify 100% characteristics - 1pc only</t>
    </r>
  </si>
  <si>
    <r>
      <rPr>
        <sz val="11"/>
        <color theme="1"/>
        <rFont val="Calibri"/>
        <family val="2"/>
      </rPr>
      <t xml:space="preserve">CNC Operation
</t>
    </r>
    <r>
      <rPr>
        <sz val="8"/>
        <color theme="1"/>
        <rFont val="Calibri"/>
        <family val="2"/>
      </rPr>
      <t>Measure .090 Diameter on 100% of parts to ensure conformity</t>
    </r>
  </si>
  <si>
    <r>
      <rPr>
        <sz val="11"/>
        <color theme="1"/>
        <rFont val="Calibri"/>
        <family val="2"/>
      </rPr>
      <t xml:space="preserve">OSP - Passivate
Approved Vendor: Titan Fittings
Optional Vendor: N/A
</t>
    </r>
    <r>
      <rPr>
        <sz val="8"/>
        <color theme="1"/>
        <rFont val="Calibri"/>
        <family val="2"/>
      </rPr>
      <t>Record P.O.#____________________
Record CofC#____________________</t>
    </r>
    <r>
      <rPr>
        <sz val="11"/>
        <color theme="1"/>
        <rFont val="Calibri"/>
        <family val="2"/>
      </rPr>
      <t xml:space="preserve">
</t>
    </r>
    <r>
      <rPr>
        <sz val="8"/>
        <color theme="1"/>
        <rFont val="Calibri"/>
        <family val="2"/>
      </rPr>
      <t>Ensure FOD Free prior to delivery to QC</t>
    </r>
    <r>
      <rPr>
        <sz val="11"/>
        <color theme="1"/>
        <rFont val="Calibri"/>
        <family val="2"/>
      </rPr>
      <t xml:space="preserve">
</t>
    </r>
    <r>
      <rPr>
        <sz val="8"/>
        <color theme="1"/>
        <rFont val="Calibri"/>
        <family val="2"/>
      </rPr>
      <t>Attach copy of Certificat of conformance</t>
    </r>
  </si>
  <si>
    <r>
      <rPr>
        <sz val="11"/>
        <color theme="1"/>
        <rFont val="Calibri"/>
        <family val="2"/>
      </rPr>
      <t xml:space="preserve">Final QC
</t>
    </r>
    <r>
      <rPr>
        <sz val="8"/>
        <color theme="1"/>
        <rFont val="Calibri"/>
        <family val="2"/>
      </rPr>
      <t xml:space="preserve">Verify completion of FAI
Inspect AQL 1.0
Create CofC
Package in xxxx 
</t>
    </r>
  </si>
  <si>
    <r>
      <rPr>
        <sz val="11"/>
        <color theme="1"/>
        <rFont val="Calibri"/>
        <family val="2"/>
      </rPr>
      <t xml:space="preserve">Pack and Ship
</t>
    </r>
    <r>
      <rPr>
        <sz val="8"/>
        <color theme="1"/>
        <rFont val="Calibri"/>
        <family val="2"/>
      </rPr>
      <t xml:space="preserve">
Package in _ x _ Currogated Box Maximum QTY 
X pcs per box
Include 1 copy of Pack Slip
Email Titan Fittings:
First Article Inspection Report
Raw Material Certs
OSP Certs
Signed Certificate of Conformance
Pack List
Tracking Number
</t>
    </r>
  </si>
  <si>
    <r>
      <rPr>
        <sz val="11"/>
        <color theme="1"/>
        <rFont val="Calibri"/>
        <family val="2"/>
      </rPr>
      <t xml:space="preserve">Digitize Packet
</t>
    </r>
    <r>
      <rPr>
        <sz val="8"/>
        <color theme="1"/>
        <rFont val="Calibri"/>
        <family val="2"/>
      </rPr>
      <t xml:space="preserve">
Scan Work Order packet and Save in Drive
</t>
    </r>
  </si>
  <si>
    <t>WORK ORDER #</t>
  </si>
  <si>
    <t xml:space="preserve">OFFICE
</t>
  </si>
  <si>
    <t>01</t>
  </si>
  <si>
    <t>02</t>
  </si>
  <si>
    <t>03</t>
  </si>
  <si>
    <t>04</t>
  </si>
  <si>
    <t>05</t>
  </si>
  <si>
    <t>MILL OP1</t>
  </si>
  <si>
    <t>MILL OP2</t>
  </si>
  <si>
    <t>MILL OP3</t>
  </si>
  <si>
    <t>06</t>
  </si>
  <si>
    <t>08</t>
  </si>
  <si>
    <t>09</t>
  </si>
  <si>
    <t>Digitize Packet</t>
  </si>
  <si>
    <t>PACKING &amp; SHIPPING</t>
  </si>
  <si>
    <t xml:space="preserve">Order release
</t>
  </si>
  <si>
    <t>SAW, RECEIVING MATERIAL</t>
  </si>
  <si>
    <t>PRE PLATING QC INSPECTION</t>
  </si>
  <si>
    <t>10</t>
  </si>
  <si>
    <t>Scan work order and receiving receipt to folder</t>
  </si>
  <si>
    <t>DEBURRING</t>
  </si>
  <si>
    <t>FINISHING</t>
  </si>
  <si>
    <t>11</t>
  </si>
  <si>
    <t>Due</t>
  </si>
  <si>
    <t>Per Drawing</t>
  </si>
  <si>
    <t>AL 5052-H32</t>
  </si>
  <si>
    <t>AL 6061-T6x</t>
  </si>
  <si>
    <t>SST 304/304L</t>
  </si>
  <si>
    <t>SST 316/316L</t>
  </si>
  <si>
    <t>SST 304</t>
  </si>
  <si>
    <t>AMS 4025</t>
  </si>
  <si>
    <t>SST 17-4 PH H1150</t>
  </si>
  <si>
    <t>AL 6061-T6</t>
  </si>
  <si>
    <t>SST 303, 304, or 316</t>
  </si>
  <si>
    <t>SST 17-4 PH</t>
  </si>
  <si>
    <t>Black ABS</t>
  </si>
  <si>
    <t>White ABS</t>
  </si>
  <si>
    <t>Copper 101</t>
  </si>
  <si>
    <t>AL 6061-T6/T651</t>
  </si>
  <si>
    <t>AMS 4027</t>
  </si>
  <si>
    <t>AMS 4117</t>
  </si>
  <si>
    <t>ASTM B221</t>
  </si>
  <si>
    <t>Peek Black</t>
  </si>
  <si>
    <t>30% glass filled IAW MIL-P-46183, type II, class 3</t>
  </si>
  <si>
    <t>IAW MIL-I-24768/1</t>
  </si>
  <si>
    <t xml:space="preserve">Garolite G9 or GME </t>
  </si>
  <si>
    <t>Garolite G9</t>
  </si>
  <si>
    <t xml:space="preserve">GME </t>
  </si>
  <si>
    <t>SST 316</t>
  </si>
  <si>
    <t>White Delrin 150</t>
  </si>
  <si>
    <t xml:space="preserve">White Teflon </t>
  </si>
  <si>
    <t>Black UHMW PE</t>
  </si>
  <si>
    <t>G10</t>
  </si>
  <si>
    <t>CLEAR PC</t>
  </si>
  <si>
    <t>AL 5083-H116</t>
  </si>
  <si>
    <t> 1095 SPRING STEEL</t>
  </si>
  <si>
    <t>Tool Steel O1</t>
  </si>
  <si>
    <t>McMaster-Carr 
PN 8491A086 /8491A087</t>
  </si>
  <si>
    <t>AL 6061-T651/T6511</t>
  </si>
  <si>
    <t>Black Delrin 150</t>
  </si>
  <si>
    <t>STEEL 4140</t>
  </si>
  <si>
    <t>SST 303</t>
  </si>
  <si>
    <t>07</t>
  </si>
  <si>
    <t>AL 6061 T651</t>
  </si>
  <si>
    <t>AL 6061-T6/T6511</t>
  </si>
  <si>
    <t>Arylic Clear</t>
  </si>
  <si>
    <t>Titanium Grade 5</t>
  </si>
  <si>
    <t>BLACK TEFLON</t>
  </si>
  <si>
    <t>AL 2024</t>
  </si>
  <si>
    <t>WHITE UHM PE</t>
  </si>
  <si>
    <t>Copper 110</t>
  </si>
  <si>
    <t>AL 6061 T6511</t>
  </si>
  <si>
    <t>AL 5083-H111</t>
  </si>
  <si>
    <t>Stainless Steel 15-5</t>
  </si>
  <si>
    <t>Peek Beige</t>
  </si>
  <si>
    <t>AL 6061</t>
  </si>
  <si>
    <t>Steel 4340</t>
  </si>
  <si>
    <t>Steel A36</t>
  </si>
  <si>
    <t>Aluminum 7075-T6</t>
  </si>
  <si>
    <t>Aluminum 7075-T7351</t>
  </si>
  <si>
    <t>Aluminum 6061-T6/T6511, Bar/
Rod</t>
  </si>
  <si>
    <t>Aluminum 6061-T651, Plate</t>
  </si>
  <si>
    <t>AISI 304</t>
  </si>
  <si>
    <t>PTFE WHITE</t>
  </si>
  <si>
    <t>Stainless Steel 15-5PH H1150</t>
  </si>
  <si>
    <t>AL 7050</t>
  </si>
  <si>
    <t>McMASTER
8749K56; PVC TYPE 1</t>
  </si>
  <si>
    <t>WHITE PC</t>
  </si>
  <si>
    <t>WHITE HDPE</t>
  </si>
  <si>
    <t>SST 17-4PH H1150</t>
  </si>
  <si>
    <t>BLACK ACETAL(POM)</t>
  </si>
  <si>
    <t>INVAR 36</t>
  </si>
  <si>
    <t>Delrin 150 (Natural)</t>
  </si>
  <si>
    <t>Titanium Grade 2</t>
  </si>
  <si>
    <t>PTFE BLACK</t>
  </si>
  <si>
    <t>AISI 4140</t>
  </si>
  <si>
    <t>Delrin Black</t>
  </si>
  <si>
    <t>15-5 PH</t>
  </si>
  <si>
    <t>7050 T7451 AMS 4050</t>
  </si>
  <si>
    <t xml:space="preserve"> </t>
  </si>
  <si>
    <t>UHMW black plastic</t>
  </si>
  <si>
    <t>POLYCARBONATE, ESD, CLEAR, PC-350</t>
  </si>
  <si>
    <t>QC- FINAL INSPECTION</t>
  </si>
  <si>
    <t>Programer:</t>
  </si>
  <si>
    <t xml:space="preserve">Program sheet </t>
  </si>
  <si>
    <t>IN:…................................
OUT:….............................</t>
  </si>
  <si>
    <t>QTY:</t>
  </si>
  <si>
    <t>PO# :</t>
  </si>
  <si>
    <t>PART #:</t>
  </si>
  <si>
    <t>Opt 1: ETA Running time</t>
  </si>
  <si>
    <t>Opt 2: ETA Running time</t>
  </si>
  <si>
    <t>Opt 3: ETA Running time</t>
  </si>
  <si>
    <t>Opt 4: ETA Running time</t>
  </si>
  <si>
    <t>Feedback program:</t>
  </si>
  <si>
    <t>17-4PH H900</t>
  </si>
  <si>
    <t>A-286</t>
  </si>
  <si>
    <t>WHITE ACETAL</t>
  </si>
  <si>
    <t>AISI 1018 STEEL, COLD ROLLED</t>
  </si>
  <si>
    <t xml:space="preserve">  </t>
  </si>
  <si>
    <t>Stainless Steel 15-5PH H900</t>
  </si>
  <si>
    <t>Stainless Steel 304
Round Tube 1-1/4" OD x 0.12"
Wall Seamless</t>
  </si>
  <si>
    <t>MIC 6</t>
  </si>
  <si>
    <t>TOOL STEEL A2</t>
  </si>
  <si>
    <t>Fiberglass Epoxy Composite</t>
  </si>
  <si>
    <t>SST 15-5PH H1025</t>
  </si>
  <si>
    <t>PAUL</t>
  </si>
  <si>
    <t>`</t>
  </si>
  <si>
    <t>AISI 440C, Rc60</t>
  </si>
  <si>
    <t>Brass 360</t>
  </si>
  <si>
    <t>PO#1392-000226</t>
  </si>
  <si>
    <t>Tran</t>
  </si>
  <si>
    <t>none</t>
  </si>
  <si>
    <t>260805-02</t>
  </si>
  <si>
    <t>AM00693-2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</si>
</sst>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v &quot;00"/>
  </numFmts>
  <fonts count="6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Barcode"/>
    </font>
    <font>
      <sz val="8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Aptos"/>
      <family val="2"/>
    </font>
    <font>
      <sz val="10"/>
      <color rgb="FF22445F"/>
      <name val="Open Sans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theme="1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47" fillId="0" borderId="0" xfId="0" applyFont="1"/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50" fillId="0" borderId="9" xfId="0" applyFont="1" applyBorder="1" applyAlignment="1">
      <alignment vertical="center"/>
    </xf>
    <xf numFmtId="0" fontId="50" fillId="0" borderId="10" xfId="0" applyFont="1" applyBorder="1" applyAlignment="1">
      <alignment vertical="center"/>
    </xf>
    <xf numFmtId="0" fontId="48" fillId="2" borderId="11" xfId="0" applyFont="1" applyFill="1" applyBorder="1"/>
    <xf numFmtId="0" fontId="0" fillId="0" borderId="11" xfId="0" applyBorder="1"/>
    <xf numFmtId="0" fontId="49" fillId="0" borderId="11" xfId="0" applyFont="1" applyBorder="1"/>
    <xf numFmtId="49" fontId="0" fillId="0" borderId="0" xfId="0" applyNumberFormat="1"/>
    <xf numFmtId="49" fontId="49" fillId="0" borderId="11" xfId="0" applyNumberFormat="1" applyFont="1" applyBorder="1"/>
    <xf numFmtId="0" fontId="47" fillId="0" borderId="11" xfId="0" applyFont="1" applyBorder="1" applyAlignment="1">
      <alignment horizontal="left" vertical="top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7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53" fillId="0" borderId="11" xfId="0" applyFont="1" applyBorder="1" applyAlignment="1">
      <alignment horizontal="center" vertical="top"/>
    </xf>
    <xf numFmtId="0" fontId="47" fillId="0" borderId="11" xfId="0" applyFont="1" applyBorder="1"/>
    <xf numFmtId="0" fontId="53" fillId="0" borderId="11" xfId="0" applyFont="1" applyBorder="1" applyAlignment="1">
      <alignment horizontal="left" vertical="top"/>
    </xf>
    <xf numFmtId="49" fontId="47" fillId="0" borderId="11" xfId="0" applyNumberFormat="1" applyFont="1" applyBorder="1"/>
    <xf numFmtId="49" fontId="0" fillId="0" borderId="11" xfId="0" applyNumberFormat="1" applyBorder="1"/>
    <xf numFmtId="0" fontId="54" fillId="0" borderId="13" xfId="0" applyFont="1" applyBorder="1"/>
    <xf numFmtId="0" fontId="56" fillId="3" borderId="13" xfId="0" applyFont="1" applyFill="1" applyBorder="1" applyAlignment="1">
      <alignment horizontal="center" vertical="center"/>
    </xf>
    <xf numFmtId="0" fontId="50" fillId="0" borderId="11" xfId="0" applyFont="1" applyBorder="1" applyAlignment="1">
      <alignment vertical="center"/>
    </xf>
    <xf numFmtId="0" fontId="48" fillId="6" borderId="11" xfId="0" applyFont="1" applyFill="1" applyBorder="1"/>
    <xf numFmtId="0" fontId="45" fillId="0" borderId="0" xfId="0" applyFont="1"/>
    <xf numFmtId="0" fontId="44" fillId="0" borderId="0" xfId="0" applyFont="1"/>
    <xf numFmtId="0" fontId="43" fillId="0" borderId="0" xfId="0" applyFont="1" applyAlignment="1">
      <alignment wrapText="1"/>
    </xf>
    <xf numFmtId="0" fontId="43" fillId="0" borderId="0" xfId="0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58" fillId="0" borderId="0" xfId="0" applyFont="1"/>
    <xf numFmtId="0" fontId="39" fillId="0" borderId="0" xfId="0" applyFont="1"/>
    <xf numFmtId="0" fontId="38" fillId="0" borderId="0" xfId="0" applyFont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34" fillId="0" borderId="0" xfId="0" applyFont="1"/>
    <xf numFmtId="0" fontId="59" fillId="0" borderId="0" xfId="0" applyFont="1"/>
    <xf numFmtId="0" fontId="33" fillId="0" borderId="0" xfId="0" applyFont="1"/>
    <xf numFmtId="0" fontId="33" fillId="0" borderId="0" xfId="0" applyFont="1" applyAlignment="1">
      <alignment wrapText="1"/>
    </xf>
    <xf numFmtId="0" fontId="32" fillId="0" borderId="0" xfId="0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2" fillId="0" borderId="0" xfId="0" applyFont="1" applyAlignment="1">
      <alignment vertical="center"/>
    </xf>
    <xf numFmtId="0" fontId="60" fillId="0" borderId="0" xfId="0" applyFont="1"/>
    <xf numFmtId="0" fontId="21" fillId="0" borderId="0" xfId="0" applyFont="1"/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49" fillId="0" borderId="11" xfId="0" applyFont="1" applyBorder="1" applyAlignment="1">
      <alignment horizontal="center"/>
    </xf>
    <xf numFmtId="49" fontId="47" fillId="0" borderId="11" xfId="0" applyNumberFormat="1" applyFont="1" applyBorder="1" applyAlignment="1">
      <alignment horizontal="center" vertical="center"/>
    </xf>
    <xf numFmtId="0" fontId="62" fillId="0" borderId="11" xfId="0" applyFont="1" applyBorder="1" applyAlignment="1">
      <alignment horizontal="left" wrapText="1"/>
    </xf>
    <xf numFmtId="0" fontId="62" fillId="0" borderId="11" xfId="0" applyFont="1" applyBorder="1" applyAlignment="1">
      <alignment horizontal="left"/>
    </xf>
    <xf numFmtId="0" fontId="0" fillId="0" borderId="0" xfId="0" applyAlignment="1">
      <alignment vertical="top"/>
    </xf>
    <xf numFmtId="0" fontId="60" fillId="0" borderId="25" xfId="0" applyFont="1" applyBorder="1" applyAlignment="1">
      <alignment horizontal="center" vertical="center"/>
    </xf>
    <xf numFmtId="0" fontId="60" fillId="0" borderId="25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29" xfId="0" applyFont="1" applyBorder="1" applyAlignment="1">
      <alignment vertical="top"/>
    </xf>
    <xf numFmtId="0" fontId="0" fillId="0" borderId="29" xfId="0" applyBorder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20" fontId="0" fillId="0" borderId="33" xfId="0" applyNumberFormat="1" applyBorder="1"/>
    <xf numFmtId="20" fontId="0" fillId="0" borderId="34" xfId="0" applyNumberFormat="1" applyBorder="1"/>
    <xf numFmtId="46" fontId="0" fillId="0" borderId="33" xfId="0" applyNumberFormat="1" applyBorder="1"/>
    <xf numFmtId="0" fontId="60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49" fillId="0" borderId="15" xfId="0" applyFont="1" applyBorder="1" applyAlignment="1">
      <alignment horizontal="center"/>
    </xf>
    <xf numFmtId="0" fontId="49" fillId="0" borderId="16" xfId="0" applyFont="1" applyBorder="1" applyAlignment="1">
      <alignment horizontal="center"/>
    </xf>
    <xf numFmtId="0" fontId="49" fillId="0" borderId="17" xfId="0" applyFont="1" applyBorder="1" applyAlignment="1">
      <alignment horizontal="center"/>
    </xf>
    <xf numFmtId="0" fontId="62" fillId="0" borderId="15" xfId="0" applyFont="1" applyBorder="1" applyAlignment="1">
      <alignment horizontal="left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7" xfId="0" applyFont="1" applyBorder="1" applyAlignment="1">
      <alignment horizontal="left" vertical="center"/>
    </xf>
    <xf numFmtId="0" fontId="48" fillId="0" borderId="13" xfId="0" applyFont="1" applyBorder="1" applyAlignment="1">
      <alignment horizontal="center"/>
    </xf>
    <xf numFmtId="0" fontId="49" fillId="0" borderId="13" xfId="0" applyFont="1" applyBorder="1"/>
    <xf numFmtId="0" fontId="47" fillId="0" borderId="13" xfId="0" applyFont="1" applyBorder="1" applyAlignment="1">
      <alignment horizontal="center" vertical="top"/>
    </xf>
    <xf numFmtId="0" fontId="49" fillId="0" borderId="13" xfId="0" applyFont="1" applyBorder="1" applyAlignment="1">
      <alignment horizontal="center" vertical="top"/>
    </xf>
    <xf numFmtId="14" fontId="47" fillId="0" borderId="13" xfId="0" applyNumberFormat="1" applyFont="1" applyBorder="1" applyAlignment="1">
      <alignment horizontal="center" vertical="top"/>
    </xf>
    <xf numFmtId="14" fontId="49" fillId="0" borderId="13" xfId="0" applyNumberFormat="1" applyFont="1" applyBorder="1" applyAlignment="1">
      <alignment vertical="top"/>
    </xf>
    <xf numFmtId="49" fontId="47" fillId="0" borderId="13" xfId="0" applyNumberFormat="1" applyFont="1" applyBorder="1" applyAlignment="1">
      <alignment horizontal="center" vertical="center"/>
    </xf>
    <xf numFmtId="49" fontId="49" fillId="0" borderId="13" xfId="0" applyNumberFormat="1" applyFont="1" applyBorder="1"/>
    <xf numFmtId="49" fontId="47" fillId="0" borderId="13" xfId="0" applyNumberFormat="1" applyFont="1" applyBorder="1" applyAlignment="1">
      <alignment horizontal="center" vertical="top"/>
    </xf>
    <xf numFmtId="49" fontId="49" fillId="0" borderId="13" xfId="0" applyNumberFormat="1" applyFont="1" applyBorder="1" applyAlignment="1">
      <alignment vertical="top"/>
    </xf>
    <xf numFmtId="0" fontId="54" fillId="0" borderId="13" xfId="0" applyFont="1" applyBorder="1" applyAlignment="1">
      <alignment horizontal="left" vertical="top" wrapText="1"/>
    </xf>
    <xf numFmtId="0" fontId="55" fillId="0" borderId="13" xfId="0" applyFont="1" applyBorder="1" applyAlignment="1">
      <alignment vertical="top"/>
    </xf>
    <xf numFmtId="49" fontId="47" fillId="0" borderId="18" xfId="0" applyNumberFormat="1" applyFont="1" applyBorder="1" applyAlignment="1">
      <alignment horizontal="center" vertical="center"/>
    </xf>
    <xf numFmtId="49" fontId="47" fillId="0" borderId="19" xfId="0" applyNumberFormat="1" applyFont="1" applyBorder="1" applyAlignment="1">
      <alignment horizontal="center" vertical="center"/>
    </xf>
    <xf numFmtId="49" fontId="47" fillId="0" borderId="23" xfId="0" applyNumberFormat="1" applyFont="1" applyBorder="1" applyAlignment="1">
      <alignment horizontal="center" vertical="center"/>
    </xf>
    <xf numFmtId="49" fontId="47" fillId="0" borderId="24" xfId="0" applyNumberFormat="1" applyFont="1" applyBorder="1" applyAlignment="1">
      <alignment horizontal="center" vertical="center"/>
    </xf>
    <xf numFmtId="49" fontId="47" fillId="0" borderId="20" xfId="0" applyNumberFormat="1" applyFont="1" applyBorder="1" applyAlignment="1">
      <alignment horizontal="center" vertical="center"/>
    </xf>
    <xf numFmtId="49" fontId="47" fillId="0" borderId="22" xfId="0" applyNumberFormat="1" applyFont="1" applyBorder="1" applyAlignment="1">
      <alignment horizontal="center" vertical="center"/>
    </xf>
    <xf numFmtId="0" fontId="62" fillId="0" borderId="16" xfId="0" applyFont="1" applyBorder="1" applyAlignment="1">
      <alignment horizontal="left" vertical="center" wrapText="1"/>
    </xf>
    <xf numFmtId="0" fontId="62" fillId="0" borderId="17" xfId="0" applyFont="1" applyBorder="1" applyAlignment="1">
      <alignment horizontal="left" vertical="center" wrapText="1"/>
    </xf>
    <xf numFmtId="0" fontId="47" fillId="0" borderId="13" xfId="0" applyFont="1" applyBorder="1" applyAlignment="1">
      <alignment horizontal="left" vertical="top" wrapText="1"/>
    </xf>
    <xf numFmtId="0" fontId="53" fillId="0" borderId="11" xfId="0" applyFont="1" applyBorder="1" applyAlignment="1">
      <alignment horizontal="left" vertical="top" wrapText="1"/>
    </xf>
    <xf numFmtId="0" fontId="53" fillId="0" borderId="11" xfId="0" applyFont="1" applyBorder="1" applyAlignment="1">
      <alignment horizontal="left" vertical="top"/>
    </xf>
    <xf numFmtId="0" fontId="61" fillId="0" borderId="18" xfId="0" applyFont="1" applyBorder="1" applyAlignment="1">
      <alignment horizontal="left" vertical="center" wrapText="1"/>
    </xf>
    <xf numFmtId="0" fontId="61" fillId="0" borderId="14" xfId="0" applyFont="1" applyBorder="1" applyAlignment="1">
      <alignment horizontal="left" vertical="center" wrapText="1"/>
    </xf>
    <xf numFmtId="0" fontId="61" fillId="0" borderId="19" xfId="0" applyFont="1" applyBorder="1" applyAlignment="1">
      <alignment horizontal="left" vertical="center" wrapText="1"/>
    </xf>
    <xf numFmtId="0" fontId="61" fillId="0" borderId="20" xfId="0" applyFont="1" applyBorder="1" applyAlignment="1">
      <alignment horizontal="left" vertical="center" wrapText="1"/>
    </xf>
    <xf numFmtId="0" fontId="61" fillId="0" borderId="21" xfId="0" applyFont="1" applyBorder="1" applyAlignment="1">
      <alignment horizontal="left" vertical="center" wrapText="1"/>
    </xf>
    <xf numFmtId="0" fontId="61" fillId="0" borderId="22" xfId="0" applyFont="1" applyBorder="1" applyAlignment="1">
      <alignment horizontal="left" vertical="center" wrapText="1"/>
    </xf>
    <xf numFmtId="0" fontId="48" fillId="4" borderId="13" xfId="0" applyFont="1" applyFill="1" applyBorder="1" applyAlignment="1">
      <alignment horizontal="center" vertical="top"/>
    </xf>
    <xf numFmtId="0" fontId="49" fillId="5" borderId="13" xfId="0" applyFont="1" applyFill="1" applyBorder="1" applyAlignment="1">
      <alignment vertical="top"/>
    </xf>
    <xf numFmtId="0" fontId="61" fillId="0" borderId="13" xfId="0" applyFont="1" applyBorder="1" applyAlignment="1">
      <alignment horizontal="left" vertical="center" wrapText="1"/>
    </xf>
    <xf numFmtId="0" fontId="62" fillId="0" borderId="13" xfId="0" applyFont="1" applyBorder="1" applyAlignment="1">
      <alignment vertical="center"/>
    </xf>
    <xf numFmtId="0" fontId="51" fillId="0" borderId="13" xfId="0" applyFont="1" applyBorder="1" applyAlignment="1">
      <alignment horizontal="left" vertical="center" wrapText="1"/>
    </xf>
    <xf numFmtId="0" fontId="63" fillId="0" borderId="13" xfId="0" applyFont="1" applyBorder="1" applyAlignment="1">
      <alignment vertical="center"/>
    </xf>
    <xf numFmtId="0" fontId="48" fillId="4" borderId="13" xfId="0" applyFont="1" applyFill="1" applyBorder="1" applyAlignment="1">
      <alignment horizontal="center"/>
    </xf>
    <xf numFmtId="0" fontId="49" fillId="5" borderId="13" xfId="0" applyFont="1" applyFill="1" applyBorder="1"/>
    <xf numFmtId="0" fontId="47" fillId="0" borderId="13" xfId="0" applyFont="1" applyBorder="1" applyAlignment="1">
      <alignment horizontal="center"/>
    </xf>
    <xf numFmtId="0" fontId="53" fillId="0" borderId="11" xfId="0" applyFont="1" applyBorder="1" applyAlignment="1">
      <alignment horizontal="left"/>
    </xf>
    <xf numFmtId="0" fontId="65" fillId="0" borderId="13" xfId="0" applyFont="1" applyBorder="1" applyAlignment="1">
      <alignment horizontal="center" vertical="center" wrapText="1"/>
    </xf>
    <xf numFmtId="0" fontId="51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61" fillId="0" borderId="13" xfId="0" applyFont="1" applyBorder="1" applyAlignment="1">
      <alignment horizontal="left" vertical="top"/>
    </xf>
    <xf numFmtId="0" fontId="47" fillId="0" borderId="13" xfId="0" applyFont="1" applyBorder="1" applyAlignment="1">
      <alignment horizontal="center" vertical="center" wrapText="1"/>
    </xf>
    <xf numFmtId="0" fontId="53" fillId="0" borderId="13" xfId="0" applyFont="1" applyBorder="1" applyAlignment="1">
      <alignment horizontal="center" vertical="top" wrapText="1"/>
    </xf>
    <xf numFmtId="0" fontId="54" fillId="0" borderId="13" xfId="0" applyFont="1" applyBorder="1" applyAlignment="1">
      <alignment horizontal="center" vertical="center"/>
    </xf>
    <xf numFmtId="0" fontId="46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164" fontId="53" fillId="0" borderId="13" xfId="0" applyNumberFormat="1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13" xfId="0" applyFont="1" applyBorder="1" applyAlignment="1">
      <alignment horizontal="left" vertical="center"/>
    </xf>
    <xf numFmtId="0" fontId="54" fillId="0" borderId="13" xfId="0" applyFont="1" applyBorder="1" applyAlignment="1">
      <alignment horizontal="left" vertical="center"/>
    </xf>
    <xf numFmtId="49" fontId="56" fillId="0" borderId="15" xfId="0" quotePrefix="1" applyNumberFormat="1" applyFont="1" applyBorder="1" applyAlignment="1">
      <alignment horizontal="center" vertical="center" wrapText="1"/>
    </xf>
    <xf numFmtId="49" fontId="56" fillId="0" borderId="16" xfId="0" quotePrefix="1" applyNumberFormat="1" applyFont="1" applyBorder="1" applyAlignment="1">
      <alignment horizontal="center" vertical="center" wrapText="1"/>
    </xf>
    <xf numFmtId="49" fontId="56" fillId="0" borderId="17" xfId="0" quotePrefix="1" applyNumberFormat="1" applyFont="1" applyBorder="1" applyAlignment="1">
      <alignment horizontal="center" vertical="center" wrapText="1"/>
    </xf>
    <xf numFmtId="14" fontId="54" fillId="0" borderId="13" xfId="0" applyNumberFormat="1" applyFont="1" applyBorder="1" applyAlignment="1">
      <alignment horizontal="center"/>
    </xf>
    <xf numFmtId="11" fontId="56" fillId="0" borderId="13" xfId="0" quotePrefix="1" applyNumberFormat="1" applyFont="1" applyBorder="1" applyAlignment="1">
      <alignment horizontal="center" wrapText="1"/>
    </xf>
    <xf numFmtId="0" fontId="56" fillId="0" borderId="13" xfId="0" applyFont="1" applyBorder="1" applyAlignment="1">
      <alignment horizontal="center"/>
    </xf>
    <xf numFmtId="0" fontId="64" fillId="0" borderId="2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60" fillId="0" borderId="25" xfId="0" applyFont="1" applyBorder="1" applyAlignment="1">
      <alignment horizontal="center" vertical="center"/>
    </xf>
    <xf numFmtId="49" fontId="11" fillId="0" borderId="29" xfId="0" applyNumberFormat="1" applyFont="1" applyBorder="1" applyAlignment="1">
      <alignment horizontal="center" vertical="center"/>
    </xf>
    <xf numFmtId="49" fontId="11" fillId="0" borderId="31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11" fontId="60" fillId="0" borderId="29" xfId="0" applyNumberFormat="1" applyFont="1" applyBorder="1" applyAlignment="1">
      <alignment horizontal="left" vertical="center"/>
    </xf>
    <xf numFmtId="11" fontId="60" fillId="0" borderId="31" xfId="0" applyNumberFormat="1" applyFont="1" applyBorder="1" applyAlignment="1">
      <alignment horizontal="left" vertical="center"/>
    </xf>
    <xf numFmtId="11" fontId="60" fillId="0" borderId="30" xfId="0" applyNumberFormat="1" applyFont="1" applyBorder="1" applyAlignment="1">
      <alignment horizontal="left" vertical="center"/>
    </xf>
    <xf numFmtId="49" fontId="60" fillId="0" borderId="29" xfId="0" quotePrefix="1" applyNumberFormat="1" applyFont="1" applyBorder="1" applyAlignment="1">
      <alignment horizontal="left" vertical="center"/>
    </xf>
    <xf numFmtId="0" fontId="60" fillId="0" borderId="30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49" fillId="0" borderId="6" xfId="0" applyFont="1" applyBorder="1"/>
    <xf numFmtId="0" fontId="49" fillId="0" borderId="8" xfId="0" applyFont="1" applyBorder="1"/>
    <xf numFmtId="0" fontId="49" fillId="0" borderId="10" xfId="0" applyFont="1" applyBorder="1"/>
    <xf numFmtId="0" fontId="49" fillId="0" borderId="5" xfId="0" applyFont="1" applyBorder="1"/>
    <xf numFmtId="0" fontId="49" fillId="0" borderId="9" xfId="0" applyFont="1" applyBorder="1"/>
    <xf numFmtId="0" fontId="48" fillId="0" borderId="0" xfId="0" applyFont="1" applyAlignment="1">
      <alignment horizontal="center" vertical="center"/>
    </xf>
    <xf numFmtId="0" fontId="0" fillId="0" borderId="0" xfId="0"/>
    <xf numFmtId="0" fontId="48" fillId="0" borderId="1" xfId="0" applyFont="1" applyBorder="1" applyAlignment="1">
      <alignment horizontal="center" vertical="center"/>
    </xf>
    <xf numFmtId="0" fontId="49" fillId="0" borderId="2" xfId="0" applyFont="1" applyBorder="1"/>
    <xf numFmtId="0" fontId="49" fillId="0" borderId="3" xfId="0" applyFont="1" applyBorder="1"/>
    <xf numFmtId="0" fontId="48" fillId="0" borderId="9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left" vertical="top" wrapText="1"/>
    </xf>
    <xf numFmtId="0" fontId="48" fillId="2" borderId="4" xfId="0" applyFont="1" applyFill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8" fillId="0" borderId="0" xfId="0" applyFont="1" applyAlignment="1">
      <alignment horizontal="right"/>
    </xf>
    <xf numFmtId="0" fontId="49" fillId="0" borderId="12" xfId="0" applyFont="1" applyBorder="1"/>
    <xf numFmtId="0" fontId="48" fillId="0" borderId="7" xfId="0" applyFont="1" applyBorder="1" applyAlignment="1">
      <alignment horizontal="center"/>
    </xf>
    <xf numFmtId="0" fontId="48" fillId="0" borderId="0" xfId="0" applyFont="1" applyAlignment="1">
      <alignment horizontal="center"/>
    </xf>
    <xf numFmtId="14" fontId="48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33130</xdr:colOff>
      <xdr:row>0</xdr:row>
      <xdr:rowOff>33349</xdr:rowOff>
    </xdr:from>
    <xdr:to>
      <xdr:col>14</xdr:col>
      <xdr:colOff>176005</xdr:colOff>
      <xdr:row>2</xdr:row>
      <xdr:rowOff>194536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CAFE79-2E73-4EA1-A8B0-B1A231B9B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30" y="33349"/>
          <a:ext cx="2486853" cy="55875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674"/>
  <sheetViews>
    <sheetView tabSelected="1" zoomScale="115" zoomScaleNormal="115" workbookViewId="0">
      <selection activeCell="AG25" sqref="AG25"/>
    </sheetView>
  </sheetViews>
  <sheetFormatPr defaultColWidth="14.42578125" defaultRowHeight="15" customHeight="1"/>
  <cols>
    <col min="1" max="9" width="2.85546875" customWidth="1"/>
    <col min="10" max="10" width="2.7109375" customWidth="1"/>
    <col min="11" max="11" width="0.5703125" hidden="1" customWidth="1"/>
    <col min="12" max="12" width="2.85546875" hidden="1" customWidth="1"/>
    <col min="13" max="13" width="2.85546875" customWidth="1"/>
    <col min="14" max="14" width="3.85546875" customWidth="1"/>
    <col min="15" max="15" width="5.7109375" customWidth="1"/>
    <col min="16" max="16" width="0.7109375" customWidth="1"/>
    <col min="17" max="17" width="1.7109375" customWidth="1"/>
    <col min="18" max="18" width="2.140625" customWidth="1"/>
    <col min="19" max="19" width="4.5703125" customWidth="1"/>
    <col min="20" max="20" width="0.7109375" customWidth="1"/>
    <col min="21" max="21" width="2.7109375" customWidth="1"/>
    <col min="22" max="22" width="2" customWidth="1"/>
    <col min="23" max="23" width="3.7109375" customWidth="1"/>
    <col min="24" max="24" width="4.5703125" customWidth="1"/>
    <col min="25" max="25" width="2.140625" customWidth="1"/>
    <col min="26" max="26" width="5" customWidth="1"/>
    <col min="27" max="27" width="5" bestFit="1" customWidth="1"/>
    <col min="28" max="28" width="2" customWidth="1"/>
    <col min="29" max="29" width="3.28515625" customWidth="1"/>
    <col min="30" max="30" width="2.5703125" customWidth="1"/>
    <col min="31" max="31" width="5.7109375" customWidth="1"/>
  </cols>
  <sheetData>
    <row r="1" spans="1:34" s="13" customFormat="1" ht="15.75" customHeight="1">
      <c r="O1" s="14"/>
      <c r="P1" s="147" t="s">
        <v>36</v>
      </c>
      <c r="Q1" s="147"/>
      <c r="R1" s="147"/>
      <c r="S1" s="147"/>
      <c r="T1" s="147"/>
      <c r="U1" s="147"/>
      <c r="V1" s="147"/>
      <c r="W1" s="147"/>
      <c r="X1" s="140" t="s">
        <v>168</v>
      </c>
      <c r="Y1" s="146"/>
      <c r="Z1" s="146"/>
      <c r="AA1" s="146"/>
      <c r="AB1" s="146"/>
      <c r="AC1" s="146"/>
      <c r="AD1" s="145">
        <v>1</v>
      </c>
      <c r="AE1" s="145"/>
    </row>
    <row r="2" spans="1:34" s="13" customFormat="1" ht="15.75" customHeight="1">
      <c r="I2" s="12"/>
      <c r="J2" s="12"/>
      <c r="K2" s="12"/>
      <c r="L2" s="12"/>
      <c r="M2" s="12"/>
      <c r="P2" s="143" t="s">
        <v>5</v>
      </c>
      <c r="Q2" s="144"/>
      <c r="R2" s="144"/>
      <c r="S2" s="144"/>
      <c r="T2" s="153" t="s">
        <v>165</v>
      </c>
      <c r="U2" s="154"/>
      <c r="V2" s="154"/>
      <c r="W2" s="154"/>
      <c r="X2" s="154"/>
      <c r="Y2" s="154"/>
      <c r="Z2" s="154"/>
      <c r="AA2" s="21" t="s">
        <v>59</v>
      </c>
      <c r="AB2" s="152">
        <v>46246</v>
      </c>
      <c r="AC2" s="152"/>
      <c r="AD2" s="152"/>
      <c r="AE2" s="152"/>
    </row>
    <row r="3" spans="1:34" s="13" customFormat="1" ht="15.75" customHeight="1">
      <c r="I3" s="12"/>
      <c r="J3" s="12"/>
      <c r="K3" s="12"/>
      <c r="L3" s="12"/>
      <c r="M3" s="12"/>
      <c r="N3" s="12"/>
      <c r="O3" s="12"/>
      <c r="P3" s="148" t="s">
        <v>0</v>
      </c>
      <c r="Q3" s="148"/>
      <c r="R3" s="148"/>
      <c r="S3" s="148"/>
      <c r="T3" s="149" t="s">
        <v>169</v>
      </c>
      <c r="U3" s="150"/>
      <c r="V3" s="150"/>
      <c r="W3" s="150"/>
      <c r="X3" s="150"/>
      <c r="Y3" s="150"/>
      <c r="Z3" s="150"/>
      <c r="AA3" s="151"/>
      <c r="AB3" s="142" t="s">
        <v>1</v>
      </c>
      <c r="AC3" s="142"/>
      <c r="AD3" s="142"/>
      <c r="AE3" s="22">
        <v>4</v>
      </c>
    </row>
    <row r="4" spans="1:34" s="13" customFormat="1" ht="7.5" customHeight="1">
      <c r="A4" s="138" t="e" vm="1">
        <v>#VALUE!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4" s="13" customFormat="1" ht="23.25" customHeight="1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9" t="s">
        <v>10</v>
      </c>
      <c r="Q5" s="139"/>
      <c r="R5" s="139"/>
      <c r="S5" s="139"/>
      <c r="T5" s="139"/>
      <c r="U5" s="139"/>
      <c r="V5" s="139"/>
      <c r="W5" s="141" t="s">
        <v>68</v>
      </c>
      <c r="X5" s="141"/>
      <c r="Y5" s="141"/>
      <c r="Z5" s="141"/>
      <c r="AA5" s="141"/>
      <c r="AB5" s="141"/>
      <c r="AC5" s="141"/>
      <c r="AD5" s="141"/>
      <c r="AE5" s="141"/>
      <c r="AG5" s="53"/>
    </row>
    <row r="6" spans="1:34" s="13" customFormat="1" ht="13.5" customHeight="1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28" t="s">
        <v>12</v>
      </c>
      <c r="Q6" s="128"/>
      <c r="R6" s="128"/>
      <c r="S6" s="128"/>
      <c r="T6" s="128"/>
      <c r="U6" s="128"/>
      <c r="V6" s="128"/>
      <c r="W6" s="140" t="s">
        <v>60</v>
      </c>
      <c r="X6" s="140"/>
      <c r="Y6" s="140"/>
      <c r="Z6" s="140"/>
      <c r="AA6" s="140"/>
      <c r="AB6" s="140"/>
      <c r="AC6" s="140"/>
      <c r="AD6" s="140"/>
      <c r="AE6" s="140"/>
    </row>
    <row r="7" spans="1:34" s="13" customFormat="1" ht="9" customHeight="1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28"/>
      <c r="Q7" s="128"/>
      <c r="R7" s="128"/>
      <c r="S7" s="128"/>
      <c r="T7" s="128"/>
      <c r="U7" s="128"/>
      <c r="V7" s="128"/>
      <c r="W7" s="140"/>
      <c r="X7" s="140"/>
      <c r="Y7" s="140"/>
      <c r="Z7" s="140"/>
      <c r="AA7" s="140"/>
      <c r="AB7" s="140"/>
      <c r="AC7" s="140"/>
      <c r="AD7" s="140"/>
      <c r="AE7" s="140"/>
    </row>
    <row r="8" spans="1:34" s="13" customFormat="1" ht="15.75" customHeight="1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1"/>
      <c r="Q8" s="11"/>
      <c r="R8" s="11"/>
      <c r="S8" s="11"/>
      <c r="T8" s="11"/>
      <c r="U8" s="11"/>
      <c r="V8" s="11"/>
      <c r="W8" s="16"/>
      <c r="X8" s="16"/>
      <c r="Y8" s="16"/>
      <c r="Z8" s="16"/>
      <c r="AA8" s="16"/>
      <c r="AB8" s="16"/>
      <c r="AC8" s="16"/>
      <c r="AD8" s="16"/>
      <c r="AE8" s="16"/>
      <c r="AH8" s="87"/>
    </row>
    <row r="9" spans="1:34" ht="3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Y9" s="7"/>
      <c r="Z9" s="7"/>
      <c r="AA9" s="7"/>
      <c r="AB9" s="7"/>
      <c r="AC9" s="23"/>
      <c r="AD9" s="23"/>
      <c r="AE9" s="23"/>
    </row>
    <row r="10" spans="1:34" ht="3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4" ht="3.75" customHeight="1"/>
    <row r="12" spans="1:34" ht="15.75" customHeight="1">
      <c r="A12" s="17" t="s">
        <v>16</v>
      </c>
      <c r="B12" s="7"/>
      <c r="D12" s="118" t="s">
        <v>37</v>
      </c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" t="s">
        <v>18</v>
      </c>
      <c r="S12" s="1" t="s">
        <v>19</v>
      </c>
      <c r="W12" s="1" t="s">
        <v>20</v>
      </c>
      <c r="Z12" s="17" t="s">
        <v>21</v>
      </c>
      <c r="AA12" s="7"/>
      <c r="AC12" s="17" t="s">
        <v>22</v>
      </c>
      <c r="AD12" s="7"/>
      <c r="AE12" s="7"/>
      <c r="AF12" s="45"/>
    </row>
    <row r="13" spans="1:34" ht="11.25" customHeight="1">
      <c r="A13" s="105" t="s">
        <v>38</v>
      </c>
      <c r="B13" s="106"/>
      <c r="C13" s="70"/>
      <c r="D13" s="107" t="s">
        <v>51</v>
      </c>
      <c r="E13" s="108"/>
      <c r="F13" s="108"/>
      <c r="G13" s="108"/>
      <c r="H13" s="108"/>
      <c r="I13" s="108"/>
      <c r="J13" s="108"/>
      <c r="K13" s="108"/>
      <c r="L13" s="108"/>
      <c r="M13" s="108"/>
      <c r="N13" s="70"/>
      <c r="O13" s="126"/>
      <c r="P13" s="127"/>
      <c r="Q13" s="127"/>
      <c r="R13" s="70"/>
      <c r="S13" s="126"/>
      <c r="T13" s="127"/>
      <c r="U13" s="127"/>
      <c r="V13" s="70"/>
      <c r="W13" s="126"/>
      <c r="X13" s="127"/>
      <c r="Y13" s="70"/>
      <c r="Z13" s="99" t="s">
        <v>166</v>
      </c>
      <c r="AA13" s="100"/>
      <c r="AB13" s="70"/>
      <c r="AC13" s="101">
        <f ca="1">TODAY()</f>
        <v>46239</v>
      </c>
      <c r="AD13" s="102"/>
      <c r="AE13" s="102"/>
      <c r="AG13" t="s">
        <v>162</v>
      </c>
    </row>
    <row r="14" spans="1:34" ht="4.5" customHeight="1">
      <c r="A14" s="106"/>
      <c r="B14" s="106"/>
      <c r="C14" s="70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70"/>
      <c r="O14" s="127"/>
      <c r="P14" s="127"/>
      <c r="Q14" s="127"/>
      <c r="R14" s="70"/>
      <c r="S14" s="127"/>
      <c r="T14" s="127"/>
      <c r="U14" s="127"/>
      <c r="V14" s="70"/>
      <c r="W14" s="127"/>
      <c r="X14" s="127"/>
      <c r="Y14" s="70"/>
      <c r="Z14" s="100"/>
      <c r="AA14" s="100"/>
      <c r="AB14" s="70"/>
      <c r="AC14" s="102"/>
      <c r="AD14" s="102"/>
      <c r="AE14" s="102"/>
    </row>
    <row r="15" spans="1:34" ht="10.5" customHeight="1">
      <c r="A15" s="9"/>
      <c r="B15" s="9"/>
    </row>
    <row r="16" spans="1:34">
      <c r="A16" s="19" t="s">
        <v>16</v>
      </c>
      <c r="B16" s="20"/>
      <c r="D16" s="119" t="s">
        <v>52</v>
      </c>
      <c r="E16" s="119"/>
      <c r="F16" s="119"/>
      <c r="G16" s="119"/>
      <c r="H16" s="119"/>
      <c r="I16" s="119"/>
      <c r="J16" s="119"/>
      <c r="K16" s="119"/>
      <c r="L16" s="119"/>
      <c r="M16" s="119"/>
      <c r="O16" s="17" t="s">
        <v>18</v>
      </c>
      <c r="P16" s="7"/>
      <c r="Q16" s="7"/>
      <c r="S16" s="17" t="s">
        <v>19</v>
      </c>
      <c r="T16" s="7"/>
      <c r="U16" s="7"/>
      <c r="W16" s="17" t="s">
        <v>20</v>
      </c>
      <c r="X16" s="7"/>
      <c r="Z16" s="17" t="s">
        <v>21</v>
      </c>
      <c r="AA16" s="7"/>
      <c r="AC16" s="17" t="s">
        <v>22</v>
      </c>
      <c r="AD16" s="7"/>
      <c r="AE16" s="7"/>
      <c r="AH16" s="54"/>
    </row>
    <row r="17" spans="1:35" ht="13.5" customHeight="1">
      <c r="A17" s="103" t="s">
        <v>39</v>
      </c>
      <c r="B17" s="104"/>
      <c r="D17" s="117"/>
      <c r="E17" s="98"/>
      <c r="F17" s="98"/>
      <c r="G17" s="98"/>
      <c r="H17" s="98"/>
      <c r="I17" s="98"/>
      <c r="J17" s="98"/>
      <c r="K17" s="98"/>
      <c r="L17" s="98"/>
      <c r="M17" s="98"/>
      <c r="O17" s="97"/>
      <c r="P17" s="98"/>
      <c r="Q17" s="98"/>
      <c r="S17" s="97"/>
      <c r="T17" s="98"/>
      <c r="U17" s="98"/>
      <c r="W17" s="97"/>
      <c r="X17" s="98"/>
      <c r="Z17" s="97"/>
      <c r="AA17" s="98"/>
      <c r="AC17" s="97"/>
      <c r="AD17" s="98"/>
      <c r="AE17" s="98"/>
    </row>
    <row r="18" spans="1:35" ht="5.25" customHeight="1">
      <c r="A18" s="104"/>
      <c r="B18" s="104"/>
      <c r="D18" s="98"/>
      <c r="E18" s="98"/>
      <c r="F18" s="98"/>
      <c r="G18" s="98"/>
      <c r="H18" s="98"/>
      <c r="I18" s="98"/>
      <c r="J18" s="98"/>
      <c r="K18" s="98"/>
      <c r="L18" s="98"/>
      <c r="M18" s="98"/>
      <c r="O18" s="98"/>
      <c r="P18" s="98"/>
      <c r="Q18" s="98"/>
      <c r="S18" s="98"/>
      <c r="T18" s="98"/>
      <c r="U18" s="98"/>
      <c r="W18" s="98"/>
      <c r="X18" s="98"/>
      <c r="Z18" s="98"/>
      <c r="AA18" s="98"/>
      <c r="AC18" s="98"/>
      <c r="AD18" s="98"/>
      <c r="AE18" s="98"/>
    </row>
    <row r="19" spans="1:35" ht="10.5" customHeight="1">
      <c r="A19" s="9"/>
      <c r="B19" s="9"/>
    </row>
    <row r="20" spans="1:35">
      <c r="A20" s="19" t="s">
        <v>16</v>
      </c>
      <c r="B20" s="20"/>
      <c r="D20" s="119" t="s">
        <v>43</v>
      </c>
      <c r="E20" s="119"/>
      <c r="F20" s="119"/>
      <c r="G20" s="119"/>
      <c r="H20" s="119"/>
      <c r="I20" s="119"/>
      <c r="J20" s="119"/>
      <c r="K20" s="119"/>
      <c r="L20" s="119"/>
      <c r="M20" s="119"/>
      <c r="O20" s="17" t="s">
        <v>18</v>
      </c>
      <c r="P20" s="7"/>
      <c r="Q20" s="7"/>
      <c r="S20" s="17" t="s">
        <v>19</v>
      </c>
      <c r="T20" s="7"/>
      <c r="U20" s="7"/>
      <c r="W20" s="17" t="s">
        <v>20</v>
      </c>
      <c r="X20" s="7"/>
      <c r="Z20" s="17" t="s">
        <v>21</v>
      </c>
      <c r="AA20" s="7"/>
      <c r="AC20" s="17" t="s">
        <v>22</v>
      </c>
      <c r="AD20" s="7"/>
      <c r="AE20" s="7"/>
    </row>
    <row r="21" spans="1:35" ht="16.5" customHeight="1">
      <c r="A21" s="109" t="s">
        <v>40</v>
      </c>
      <c r="B21" s="110"/>
      <c r="D21" s="128" t="s">
        <v>141</v>
      </c>
      <c r="E21" s="129"/>
      <c r="F21" s="129"/>
      <c r="G21" s="129"/>
      <c r="H21" s="129"/>
      <c r="I21" s="129"/>
      <c r="J21" s="129"/>
      <c r="K21" s="129"/>
      <c r="L21" s="129"/>
      <c r="M21" s="129"/>
      <c r="O21" s="97"/>
      <c r="P21" s="98"/>
      <c r="Q21" s="98"/>
      <c r="S21" s="97"/>
      <c r="T21" s="98"/>
      <c r="U21" s="98"/>
      <c r="W21" s="97"/>
      <c r="X21" s="98"/>
      <c r="Z21" s="97"/>
      <c r="AA21" s="98"/>
      <c r="AC21" s="97"/>
      <c r="AD21" s="98"/>
      <c r="AE21" s="98"/>
    </row>
    <row r="22" spans="1:35" ht="12.75" customHeight="1">
      <c r="A22" s="111"/>
      <c r="B22" s="112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O22" s="98"/>
      <c r="P22" s="98"/>
      <c r="Q22" s="98"/>
      <c r="S22" s="98"/>
      <c r="T22" s="98"/>
      <c r="U22" s="98"/>
      <c r="W22" s="98"/>
      <c r="X22" s="98"/>
      <c r="Z22" s="98"/>
      <c r="AA22" s="98"/>
      <c r="AC22" s="98"/>
      <c r="AD22" s="98"/>
      <c r="AE22" s="98"/>
    </row>
    <row r="23" spans="1:35" ht="29.25" customHeight="1">
      <c r="A23" s="113"/>
      <c r="B23" s="114"/>
      <c r="D23" s="94" t="s">
        <v>141</v>
      </c>
      <c r="E23" s="95"/>
      <c r="F23" s="95"/>
      <c r="G23" s="95"/>
      <c r="H23" s="95"/>
      <c r="I23" s="95"/>
      <c r="J23" s="95"/>
      <c r="K23" s="95"/>
      <c r="L23" s="95"/>
      <c r="M23" s="96"/>
      <c r="O23" s="91"/>
      <c r="P23" s="92"/>
      <c r="Q23" s="93"/>
      <c r="S23" s="91"/>
      <c r="T23" s="92"/>
      <c r="U23" s="93"/>
      <c r="W23" s="91"/>
      <c r="X23" s="93"/>
      <c r="Z23" s="91"/>
      <c r="AA23" s="93"/>
      <c r="AC23" s="91"/>
      <c r="AD23" s="92"/>
      <c r="AE23" s="93"/>
    </row>
    <row r="24" spans="1:35" ht="10.5" customHeight="1">
      <c r="A24" s="10"/>
      <c r="B24" s="10"/>
      <c r="D24" s="8"/>
      <c r="E24" s="8"/>
      <c r="F24" s="8"/>
      <c r="G24" s="8"/>
      <c r="H24" s="8"/>
      <c r="I24" s="8"/>
      <c r="J24" s="8"/>
      <c r="K24" s="8"/>
      <c r="L24" s="8"/>
      <c r="M24" s="8"/>
      <c r="O24" s="8"/>
      <c r="P24" s="8"/>
      <c r="Q24" s="8"/>
      <c r="S24" s="8"/>
      <c r="T24" s="8"/>
      <c r="U24" s="8"/>
      <c r="W24" s="8"/>
      <c r="X24" s="8"/>
      <c r="Z24" s="8"/>
      <c r="AA24" s="8"/>
      <c r="AC24" s="8"/>
      <c r="AD24" s="8"/>
      <c r="AE24" s="8"/>
    </row>
    <row r="25" spans="1:35" ht="17.25" customHeight="1">
      <c r="A25" s="19" t="s">
        <v>16</v>
      </c>
      <c r="B25" s="20"/>
      <c r="D25" s="119" t="s">
        <v>44</v>
      </c>
      <c r="E25" s="119"/>
      <c r="F25" s="119"/>
      <c r="G25" s="119"/>
      <c r="H25" s="119"/>
      <c r="I25" s="119"/>
      <c r="J25" s="119"/>
      <c r="K25" s="119"/>
      <c r="L25" s="119"/>
      <c r="M25" s="119"/>
      <c r="O25" s="17" t="s">
        <v>18</v>
      </c>
      <c r="P25" s="7"/>
      <c r="Q25" s="7"/>
      <c r="S25" s="17" t="s">
        <v>19</v>
      </c>
      <c r="T25" s="7"/>
      <c r="U25" s="7"/>
      <c r="W25" s="17" t="s">
        <v>20</v>
      </c>
      <c r="X25" s="7"/>
      <c r="Z25" s="17" t="s">
        <v>21</v>
      </c>
      <c r="AA25" s="7"/>
      <c r="AC25" s="17" t="s">
        <v>22</v>
      </c>
      <c r="AD25" s="7"/>
      <c r="AE25" s="7"/>
      <c r="AG25" s="88"/>
    </row>
    <row r="26" spans="1:35" ht="12.75" customHeight="1">
      <c r="A26" s="109" t="s">
        <v>41</v>
      </c>
      <c r="B26" s="110"/>
      <c r="D26" s="128" t="s">
        <v>141</v>
      </c>
      <c r="E26" s="129"/>
      <c r="F26" s="129"/>
      <c r="G26" s="129"/>
      <c r="H26" s="129"/>
      <c r="I26" s="129"/>
      <c r="J26" s="129"/>
      <c r="K26" s="129"/>
      <c r="L26" s="129"/>
      <c r="M26" s="129"/>
      <c r="O26" s="97"/>
      <c r="P26" s="98"/>
      <c r="Q26" s="98"/>
      <c r="S26" s="97"/>
      <c r="T26" s="98"/>
      <c r="U26" s="98"/>
      <c r="W26" s="97"/>
      <c r="X26" s="98"/>
      <c r="Z26" s="97"/>
      <c r="AA26" s="98"/>
      <c r="AC26" s="97"/>
      <c r="AD26" s="98"/>
      <c r="AE26" s="98"/>
    </row>
    <row r="27" spans="1:35" ht="17.25" customHeight="1">
      <c r="A27" s="111"/>
      <c r="B27" s="112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O27" s="98"/>
      <c r="P27" s="98"/>
      <c r="Q27" s="98"/>
      <c r="S27" s="98"/>
      <c r="T27" s="98"/>
      <c r="U27" s="98"/>
      <c r="W27" s="98"/>
      <c r="X27" s="98"/>
      <c r="Z27" s="98"/>
      <c r="AA27" s="98"/>
      <c r="AC27" s="98"/>
      <c r="AD27" s="98"/>
      <c r="AE27" s="98"/>
    </row>
    <row r="28" spans="1:35" ht="28.5" customHeight="1">
      <c r="A28" s="113"/>
      <c r="B28" s="114"/>
      <c r="D28" s="94" t="s">
        <v>141</v>
      </c>
      <c r="E28" s="95"/>
      <c r="F28" s="95"/>
      <c r="G28" s="95"/>
      <c r="H28" s="95"/>
      <c r="I28" s="95"/>
      <c r="J28" s="95"/>
      <c r="K28" s="95"/>
      <c r="L28" s="95"/>
      <c r="M28" s="96"/>
      <c r="O28" s="91"/>
      <c r="P28" s="92"/>
      <c r="Q28" s="93"/>
      <c r="S28" s="91"/>
      <c r="T28" s="92"/>
      <c r="U28" s="93"/>
      <c r="W28" s="91"/>
      <c r="X28" s="93"/>
      <c r="Z28" s="91"/>
      <c r="AA28" s="93"/>
      <c r="AC28" s="91"/>
      <c r="AD28" s="92"/>
      <c r="AE28" s="93"/>
      <c r="AI28" s="81" t="s">
        <v>154</v>
      </c>
    </row>
    <row r="29" spans="1:35" ht="10.5" customHeight="1">
      <c r="A29" s="67"/>
      <c r="B29" s="67"/>
      <c r="D29" s="68"/>
      <c r="E29" s="69"/>
      <c r="F29" s="69"/>
      <c r="G29" s="69"/>
      <c r="H29" s="69"/>
      <c r="I29" s="69"/>
      <c r="J29" s="69"/>
      <c r="K29" s="69"/>
      <c r="L29" s="69"/>
      <c r="M29" s="69"/>
      <c r="O29" s="66"/>
      <c r="P29" s="66"/>
      <c r="Q29" s="66"/>
      <c r="S29" s="66"/>
      <c r="T29" s="66"/>
      <c r="U29" s="66"/>
      <c r="W29" s="66"/>
      <c r="X29" s="66"/>
      <c r="Z29" s="66"/>
      <c r="AA29" s="66"/>
      <c r="AC29" s="66"/>
      <c r="AD29" s="66"/>
      <c r="AE29" s="66"/>
    </row>
    <row r="30" spans="1:35">
      <c r="A30" s="19" t="s">
        <v>16</v>
      </c>
      <c r="B30" s="20"/>
      <c r="D30" s="119" t="s">
        <v>45</v>
      </c>
      <c r="E30" s="119"/>
      <c r="F30" s="119"/>
      <c r="G30" s="119"/>
      <c r="H30" s="119"/>
      <c r="I30" s="119"/>
      <c r="J30" s="119"/>
      <c r="K30" s="119"/>
      <c r="L30" s="119"/>
      <c r="M30" s="119"/>
      <c r="O30" s="17" t="s">
        <v>18</v>
      </c>
      <c r="P30" s="7"/>
      <c r="Q30" s="7"/>
      <c r="S30" s="17" t="s">
        <v>19</v>
      </c>
      <c r="T30" s="7"/>
      <c r="U30" s="7"/>
      <c r="W30" s="17" t="s">
        <v>20</v>
      </c>
      <c r="X30" s="7"/>
      <c r="Z30" s="17" t="s">
        <v>21</v>
      </c>
      <c r="AA30" s="7"/>
      <c r="AC30" s="17" t="s">
        <v>22</v>
      </c>
      <c r="AD30" s="7"/>
      <c r="AE30" s="7"/>
    </row>
    <row r="31" spans="1:35" ht="16.5" customHeight="1">
      <c r="A31" s="109" t="s">
        <v>42</v>
      </c>
      <c r="B31" s="110"/>
      <c r="D31" s="120" t="s">
        <v>141</v>
      </c>
      <c r="E31" s="121"/>
      <c r="F31" s="121"/>
      <c r="G31" s="121"/>
      <c r="H31" s="121"/>
      <c r="I31" s="121"/>
      <c r="J31" s="121"/>
      <c r="K31" s="121"/>
      <c r="L31" s="121"/>
      <c r="M31" s="122"/>
      <c r="O31" s="97"/>
      <c r="P31" s="98"/>
      <c r="Q31" s="98"/>
      <c r="S31" s="97"/>
      <c r="T31" s="98"/>
      <c r="U31" s="98"/>
      <c r="W31" s="97"/>
      <c r="X31" s="98"/>
      <c r="Z31" s="97"/>
      <c r="AA31" s="98"/>
      <c r="AC31" s="97"/>
      <c r="AD31" s="98"/>
      <c r="AE31" s="98"/>
    </row>
    <row r="32" spans="1:35" ht="13.5" customHeight="1">
      <c r="A32" s="111"/>
      <c r="B32" s="112"/>
      <c r="D32" s="123"/>
      <c r="E32" s="124"/>
      <c r="F32" s="124"/>
      <c r="G32" s="124"/>
      <c r="H32" s="124"/>
      <c r="I32" s="124"/>
      <c r="J32" s="124"/>
      <c r="K32" s="124"/>
      <c r="L32" s="124"/>
      <c r="M32" s="125"/>
      <c r="O32" s="98"/>
      <c r="P32" s="98"/>
      <c r="Q32" s="98"/>
      <c r="S32" s="98"/>
      <c r="T32" s="98"/>
      <c r="U32" s="98"/>
      <c r="W32" s="98"/>
      <c r="X32" s="98"/>
      <c r="Z32" s="98"/>
      <c r="AA32" s="98"/>
      <c r="AC32" s="98"/>
      <c r="AD32" s="98"/>
      <c r="AE32" s="98"/>
    </row>
    <row r="33" spans="1:37" ht="29.25" customHeight="1">
      <c r="A33" s="113"/>
      <c r="B33" s="114"/>
      <c r="D33" s="94" t="s">
        <v>141</v>
      </c>
      <c r="E33" s="115"/>
      <c r="F33" s="115"/>
      <c r="G33" s="115"/>
      <c r="H33" s="115"/>
      <c r="I33" s="115"/>
      <c r="J33" s="115"/>
      <c r="K33" s="115"/>
      <c r="L33" s="115"/>
      <c r="M33" s="116"/>
      <c r="O33" s="91"/>
      <c r="P33" s="92"/>
      <c r="Q33" s="93"/>
      <c r="S33" s="91"/>
      <c r="T33" s="92"/>
      <c r="U33" s="93"/>
      <c r="W33" s="91"/>
      <c r="X33" s="93"/>
      <c r="Z33" s="91"/>
      <c r="AA33" s="93"/>
      <c r="AC33" s="91"/>
      <c r="AD33" s="92"/>
      <c r="AE33" s="93"/>
    </row>
    <row r="34" spans="1:37" ht="10.5" customHeight="1">
      <c r="A34" s="67"/>
      <c r="B34" s="67"/>
      <c r="D34" s="68"/>
      <c r="E34" s="69"/>
      <c r="F34" s="69"/>
      <c r="G34" s="69"/>
      <c r="H34" s="69"/>
      <c r="I34" s="69"/>
      <c r="J34" s="69"/>
      <c r="K34" s="69"/>
      <c r="L34" s="69"/>
      <c r="M34" s="69"/>
      <c r="O34" s="66"/>
      <c r="P34" s="66"/>
      <c r="Q34" s="66"/>
      <c r="S34" s="66"/>
      <c r="T34" s="66"/>
      <c r="U34" s="66"/>
      <c r="W34" s="66"/>
      <c r="X34" s="66"/>
      <c r="Z34" s="66"/>
      <c r="AA34" s="66"/>
      <c r="AC34" s="66"/>
      <c r="AD34" s="66"/>
      <c r="AE34" s="66"/>
    </row>
    <row r="35" spans="1:37">
      <c r="A35" s="19" t="s">
        <v>16</v>
      </c>
      <c r="B35" s="20"/>
      <c r="D35" s="18" t="s">
        <v>56</v>
      </c>
      <c r="E35" s="18"/>
      <c r="F35" s="18"/>
      <c r="G35" s="18"/>
      <c r="H35" s="18"/>
      <c r="I35" s="18"/>
      <c r="J35" s="18"/>
      <c r="K35" s="18"/>
      <c r="L35" s="18"/>
      <c r="M35" s="18"/>
      <c r="O35" s="17" t="s">
        <v>18</v>
      </c>
      <c r="P35" s="7"/>
      <c r="Q35" s="7"/>
      <c r="S35" s="17" t="s">
        <v>19</v>
      </c>
      <c r="T35" s="7"/>
      <c r="U35" s="7"/>
      <c r="W35" s="17" t="s">
        <v>20</v>
      </c>
      <c r="X35" s="7"/>
      <c r="Z35" s="17" t="s">
        <v>21</v>
      </c>
      <c r="AA35" s="7"/>
      <c r="AC35" s="17" t="s">
        <v>22</v>
      </c>
      <c r="AD35" s="7"/>
      <c r="AE35" s="7"/>
    </row>
    <row r="36" spans="1:37" ht="10.5" customHeight="1">
      <c r="A36" s="103" t="s">
        <v>46</v>
      </c>
      <c r="B36" s="103"/>
      <c r="D36" s="117"/>
      <c r="E36" s="98"/>
      <c r="F36" s="98"/>
      <c r="G36" s="98"/>
      <c r="H36" s="98"/>
      <c r="I36" s="98"/>
      <c r="J36" s="98"/>
      <c r="K36" s="98"/>
      <c r="L36" s="98"/>
      <c r="M36" s="98"/>
      <c r="O36" s="97"/>
      <c r="P36" s="98"/>
      <c r="Q36" s="98"/>
      <c r="S36" s="97"/>
      <c r="T36" s="98"/>
      <c r="U36" s="98"/>
      <c r="W36" s="97"/>
      <c r="X36" s="98"/>
      <c r="Z36" s="97"/>
      <c r="AA36" s="98"/>
      <c r="AC36" s="97"/>
      <c r="AD36" s="98"/>
      <c r="AE36" s="98"/>
      <c r="AK36" s="57"/>
    </row>
    <row r="37" spans="1:37" ht="3" customHeight="1">
      <c r="A37" s="103"/>
      <c r="B37" s="103"/>
      <c r="D37" s="98"/>
      <c r="E37" s="98"/>
      <c r="F37" s="98"/>
      <c r="G37" s="98"/>
      <c r="H37" s="98"/>
      <c r="I37" s="98"/>
      <c r="J37" s="98"/>
      <c r="K37" s="98"/>
      <c r="L37" s="98"/>
      <c r="M37" s="98"/>
      <c r="O37" s="98"/>
      <c r="P37" s="98"/>
      <c r="Q37" s="98"/>
      <c r="S37" s="98"/>
      <c r="T37" s="98"/>
      <c r="U37" s="98"/>
      <c r="W37" s="98"/>
      <c r="X37" s="98"/>
      <c r="Z37" s="98"/>
      <c r="AA37" s="98"/>
      <c r="AC37" s="98"/>
      <c r="AD37" s="98"/>
      <c r="AE37" s="98"/>
    </row>
    <row r="38" spans="1:37" ht="10.5" customHeight="1">
      <c r="A38" s="9"/>
      <c r="B38" s="9"/>
    </row>
    <row r="39" spans="1:37" ht="15.75" customHeight="1">
      <c r="A39" s="19" t="s">
        <v>16</v>
      </c>
      <c r="B39" s="20"/>
      <c r="D39" s="18" t="s">
        <v>53</v>
      </c>
      <c r="E39" s="18"/>
      <c r="F39" s="18"/>
      <c r="G39" s="18"/>
      <c r="H39" s="18"/>
      <c r="I39" s="18"/>
      <c r="J39" s="18"/>
      <c r="K39" s="18"/>
      <c r="L39" s="18"/>
      <c r="M39" s="18"/>
      <c r="O39" s="17" t="s">
        <v>18</v>
      </c>
      <c r="P39" s="7"/>
      <c r="Q39" s="7"/>
      <c r="S39" s="17" t="s">
        <v>19</v>
      </c>
      <c r="T39" s="7"/>
      <c r="U39" s="7"/>
      <c r="W39" s="17" t="s">
        <v>20</v>
      </c>
      <c r="X39" s="7"/>
      <c r="Z39" s="17" t="s">
        <v>21</v>
      </c>
      <c r="AA39" s="7"/>
      <c r="AC39" s="17" t="s">
        <v>22</v>
      </c>
      <c r="AD39" s="7"/>
      <c r="AE39" s="7"/>
    </row>
    <row r="40" spans="1:37" ht="10.5" customHeight="1">
      <c r="A40" s="103" t="s">
        <v>98</v>
      </c>
      <c r="B40" s="104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O40" s="97"/>
      <c r="P40" s="98"/>
      <c r="Q40" s="98"/>
      <c r="S40" s="97"/>
      <c r="T40" s="98"/>
      <c r="U40" s="98"/>
      <c r="W40" s="97"/>
      <c r="X40" s="98"/>
      <c r="Z40" s="97"/>
      <c r="AA40" s="98"/>
      <c r="AC40" s="97"/>
      <c r="AD40" s="98"/>
      <c r="AE40" s="98"/>
    </row>
    <row r="41" spans="1:37" ht="3.75" customHeight="1">
      <c r="A41" s="104"/>
      <c r="B41" s="104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O41" s="98"/>
      <c r="P41" s="98"/>
      <c r="Q41" s="98"/>
      <c r="S41" s="98"/>
      <c r="T41" s="98"/>
      <c r="U41" s="98"/>
      <c r="W41" s="98"/>
      <c r="X41" s="98"/>
      <c r="Z41" s="98"/>
      <c r="AA41" s="98"/>
      <c r="AC41" s="98"/>
      <c r="AD41" s="98"/>
      <c r="AE41" s="98"/>
    </row>
    <row r="42" spans="1:37" ht="10.5" customHeight="1">
      <c r="A42" s="10"/>
      <c r="B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O42" s="8"/>
      <c r="P42" s="8"/>
      <c r="Q42" s="8"/>
      <c r="S42" s="8"/>
      <c r="T42" s="8"/>
      <c r="U42" s="8"/>
      <c r="W42" s="8"/>
      <c r="X42" s="8"/>
      <c r="Z42" s="8"/>
      <c r="AA42" s="8"/>
      <c r="AC42" s="8"/>
      <c r="AD42" s="8"/>
      <c r="AE42" s="8"/>
    </row>
    <row r="43" spans="1:37" ht="16.5" customHeight="1">
      <c r="A43" s="19" t="s">
        <v>16</v>
      </c>
      <c r="B43" s="20"/>
      <c r="D43" s="119" t="s">
        <v>57</v>
      </c>
      <c r="E43" s="119"/>
      <c r="F43" s="119"/>
      <c r="G43" s="119"/>
      <c r="H43" s="119"/>
      <c r="I43" s="119"/>
      <c r="J43" s="119"/>
      <c r="K43" s="119"/>
      <c r="L43" s="119"/>
      <c r="M43" s="119"/>
      <c r="O43" s="17" t="s">
        <v>18</v>
      </c>
      <c r="P43" s="7"/>
      <c r="Q43" s="7"/>
      <c r="S43" s="17" t="s">
        <v>19</v>
      </c>
      <c r="T43" s="7"/>
      <c r="U43" s="7"/>
      <c r="W43" s="17" t="s">
        <v>20</v>
      </c>
      <c r="X43" s="7"/>
      <c r="Z43" s="17" t="s">
        <v>21</v>
      </c>
      <c r="AA43" s="7"/>
      <c r="AC43" s="17" t="s">
        <v>22</v>
      </c>
      <c r="AD43" s="7"/>
      <c r="AE43" s="7"/>
    </row>
    <row r="44" spans="1:37" ht="8.25" customHeight="1">
      <c r="A44" s="103" t="s">
        <v>47</v>
      </c>
      <c r="B44" s="104"/>
      <c r="D44" s="136" t="s">
        <v>167</v>
      </c>
      <c r="E44" s="137"/>
      <c r="F44" s="137"/>
      <c r="G44" s="137"/>
      <c r="H44" s="137"/>
      <c r="I44" s="137"/>
      <c r="J44" s="137"/>
      <c r="K44" s="137"/>
      <c r="L44" s="137"/>
      <c r="M44" s="137"/>
      <c r="O44" s="97"/>
      <c r="P44" s="98"/>
      <c r="Q44" s="98"/>
      <c r="S44" s="97"/>
      <c r="T44" s="98"/>
      <c r="U44" s="98"/>
      <c r="W44" s="97"/>
      <c r="X44" s="98"/>
      <c r="Z44" s="97"/>
      <c r="AA44" s="98"/>
      <c r="AC44" s="97"/>
      <c r="AD44" s="98"/>
      <c r="AE44" s="98"/>
    </row>
    <row r="45" spans="1:37" ht="6.75" customHeight="1">
      <c r="A45" s="104"/>
      <c r="B45" s="104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O45" s="98"/>
      <c r="P45" s="98"/>
      <c r="Q45" s="98"/>
      <c r="S45" s="98"/>
      <c r="T45" s="98"/>
      <c r="U45" s="98"/>
      <c r="W45" s="98"/>
      <c r="X45" s="98"/>
      <c r="Z45" s="98"/>
      <c r="AA45" s="98"/>
      <c r="AC45" s="98"/>
      <c r="AD45" s="98"/>
      <c r="AE45" s="98"/>
    </row>
    <row r="46" spans="1:37" ht="10.5" customHeight="1">
      <c r="A46" s="10"/>
      <c r="B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O46" s="8"/>
      <c r="P46" s="8"/>
      <c r="Q46" s="8"/>
      <c r="S46" s="8"/>
      <c r="T46" s="8"/>
      <c r="U46" s="8"/>
      <c r="W46" s="8"/>
      <c r="X46" s="8"/>
      <c r="Z46" s="8"/>
      <c r="AA46" s="8"/>
      <c r="AC46" s="8"/>
      <c r="AD46" s="8"/>
      <c r="AE46" s="8"/>
    </row>
    <row r="47" spans="1:37" ht="18" customHeight="1">
      <c r="A47" s="19" t="s">
        <v>16</v>
      </c>
      <c r="B47" s="20"/>
      <c r="D47" s="119" t="s">
        <v>138</v>
      </c>
      <c r="E47" s="119"/>
      <c r="F47" s="119"/>
      <c r="G47" s="119"/>
      <c r="H47" s="119"/>
      <c r="I47" s="119"/>
      <c r="J47" s="119"/>
      <c r="K47" s="119"/>
      <c r="L47" s="119"/>
      <c r="M47" s="119"/>
      <c r="O47" s="17" t="s">
        <v>18</v>
      </c>
      <c r="P47" s="7"/>
      <c r="Q47" s="7"/>
      <c r="S47" s="17" t="s">
        <v>19</v>
      </c>
      <c r="T47" s="7"/>
      <c r="U47" s="7"/>
      <c r="W47" s="17" t="s">
        <v>20</v>
      </c>
      <c r="X47" s="7"/>
      <c r="Z47" s="17" t="s">
        <v>21</v>
      </c>
      <c r="AA47" s="7"/>
      <c r="AC47" s="17" t="s">
        <v>22</v>
      </c>
      <c r="AD47" s="7"/>
      <c r="AE47" s="7"/>
    </row>
    <row r="48" spans="1:37" ht="12.75" customHeight="1">
      <c r="A48" s="103" t="s">
        <v>48</v>
      </c>
      <c r="B48" s="10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O48" s="97"/>
      <c r="P48" s="98"/>
      <c r="Q48" s="98"/>
      <c r="S48" s="97"/>
      <c r="T48" s="98"/>
      <c r="U48" s="98"/>
      <c r="W48" s="97"/>
      <c r="X48" s="98"/>
      <c r="Z48" s="97"/>
      <c r="AA48" s="98"/>
      <c r="AC48" s="97"/>
      <c r="AD48" s="98"/>
      <c r="AE48" s="98"/>
    </row>
    <row r="49" spans="1:31" ht="1.5" customHeight="1">
      <c r="A49" s="104"/>
      <c r="B49" s="10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O49" s="98"/>
      <c r="P49" s="98"/>
      <c r="Q49" s="98"/>
      <c r="S49" s="98"/>
      <c r="T49" s="98"/>
      <c r="U49" s="98"/>
      <c r="W49" s="98"/>
      <c r="X49" s="98"/>
      <c r="Z49" s="98"/>
      <c r="AA49" s="98"/>
      <c r="AC49" s="98"/>
      <c r="AD49" s="98"/>
      <c r="AE49" s="98"/>
    </row>
    <row r="50" spans="1:31" ht="10.5" customHeight="1">
      <c r="A50" s="10"/>
      <c r="B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O50" s="8"/>
      <c r="P50" s="8"/>
      <c r="Q50" s="8"/>
      <c r="S50" s="8"/>
      <c r="T50" s="8"/>
      <c r="U50" s="8"/>
      <c r="W50" s="8"/>
      <c r="X50" s="8"/>
      <c r="Z50" s="8"/>
      <c r="AA50" s="8"/>
      <c r="AC50" s="8"/>
      <c r="AD50" s="8"/>
      <c r="AE50" s="8"/>
    </row>
    <row r="51" spans="1:31" ht="14.25" customHeight="1">
      <c r="A51" s="19" t="s">
        <v>16</v>
      </c>
      <c r="B51" s="20"/>
      <c r="D51" s="119" t="s">
        <v>50</v>
      </c>
      <c r="E51" s="119"/>
      <c r="F51" s="119"/>
      <c r="G51" s="119"/>
      <c r="H51" s="119"/>
      <c r="I51" s="119"/>
      <c r="J51" s="119"/>
      <c r="K51" s="119"/>
      <c r="L51" s="119"/>
      <c r="M51" s="119"/>
      <c r="O51" s="17" t="s">
        <v>18</v>
      </c>
      <c r="P51" s="7"/>
      <c r="Q51" s="7"/>
      <c r="S51" s="17" t="s">
        <v>19</v>
      </c>
      <c r="T51" s="7"/>
      <c r="U51" s="7"/>
      <c r="W51" s="17" t="s">
        <v>20</v>
      </c>
      <c r="X51" s="7"/>
      <c r="Z51" s="17" t="s">
        <v>21</v>
      </c>
      <c r="AA51" s="7"/>
      <c r="AC51" s="17" t="s">
        <v>22</v>
      </c>
      <c r="AD51" s="7"/>
      <c r="AE51" s="7"/>
    </row>
    <row r="52" spans="1:31" ht="12" customHeight="1">
      <c r="A52" s="103" t="s">
        <v>54</v>
      </c>
      <c r="B52" s="10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O52" s="97"/>
      <c r="P52" s="98"/>
      <c r="Q52" s="98"/>
      <c r="S52" s="97"/>
      <c r="T52" s="98"/>
      <c r="U52" s="98"/>
      <c r="W52" s="97"/>
      <c r="X52" s="98"/>
      <c r="Z52" s="97"/>
      <c r="AA52" s="98"/>
      <c r="AC52" s="97"/>
      <c r="AD52" s="98"/>
      <c r="AE52" s="98"/>
    </row>
    <row r="53" spans="1:31" ht="3" customHeight="1">
      <c r="A53" s="104"/>
      <c r="B53" s="10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O53" s="98"/>
      <c r="P53" s="98"/>
      <c r="Q53" s="98"/>
      <c r="S53" s="98"/>
      <c r="T53" s="98"/>
      <c r="U53" s="98"/>
      <c r="W53" s="98"/>
      <c r="X53" s="98"/>
      <c r="Z53" s="98"/>
      <c r="AA53" s="98"/>
      <c r="AC53" s="98"/>
      <c r="AD53" s="98"/>
      <c r="AE53" s="98"/>
    </row>
    <row r="54" spans="1:31" ht="10.5" customHeight="1">
      <c r="A54" s="10"/>
      <c r="B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O54" s="8"/>
      <c r="P54" s="8"/>
      <c r="Q54" s="8"/>
      <c r="S54" s="8"/>
      <c r="T54" s="8"/>
      <c r="U54" s="8"/>
      <c r="W54" s="8"/>
      <c r="X54" s="8"/>
      <c r="Z54" s="8"/>
      <c r="AA54" s="8"/>
      <c r="AC54" s="8"/>
      <c r="AD54" s="8"/>
      <c r="AE54" s="8"/>
    </row>
    <row r="55" spans="1:31" ht="15.75" customHeight="1">
      <c r="A55" s="19" t="s">
        <v>16</v>
      </c>
      <c r="B55" s="20"/>
      <c r="D55" s="135" t="s">
        <v>49</v>
      </c>
      <c r="E55" s="135"/>
      <c r="F55" s="135"/>
      <c r="G55" s="135"/>
      <c r="H55" s="135"/>
      <c r="I55" s="135"/>
      <c r="J55" s="135"/>
      <c r="K55" s="135"/>
      <c r="L55" s="135"/>
      <c r="M55" s="135"/>
      <c r="O55" s="1" t="s">
        <v>18</v>
      </c>
      <c r="S55" s="1" t="s">
        <v>19</v>
      </c>
      <c r="W55" s="1" t="s">
        <v>20</v>
      </c>
      <c r="Z55" s="17" t="s">
        <v>21</v>
      </c>
      <c r="AA55" s="7"/>
      <c r="AC55" s="17" t="s">
        <v>22</v>
      </c>
      <c r="AD55" s="7"/>
      <c r="AE55" s="7"/>
    </row>
    <row r="56" spans="1:31" ht="10.5" customHeight="1">
      <c r="A56" s="103" t="s">
        <v>58</v>
      </c>
      <c r="B56" s="104"/>
      <c r="D56" s="130" t="s">
        <v>55</v>
      </c>
      <c r="E56" s="131"/>
      <c r="F56" s="131"/>
      <c r="G56" s="131"/>
      <c r="H56" s="131"/>
      <c r="I56" s="131"/>
      <c r="J56" s="131"/>
      <c r="K56" s="131"/>
      <c r="L56" s="131"/>
      <c r="M56" s="131"/>
      <c r="O56" s="132"/>
      <c r="P56" s="133"/>
      <c r="Q56" s="133"/>
      <c r="S56" s="132"/>
      <c r="T56" s="133"/>
      <c r="U56" s="133"/>
      <c r="W56" s="132"/>
      <c r="X56" s="133"/>
      <c r="Z56" s="134" t="s">
        <v>161</v>
      </c>
      <c r="AA56" s="98"/>
      <c r="AC56" s="97"/>
      <c r="AD56" s="98"/>
      <c r="AE56" s="98"/>
    </row>
    <row r="57" spans="1:31" ht="9.75" customHeight="1">
      <c r="A57" s="104"/>
      <c r="B57" s="104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O57" s="133"/>
      <c r="P57" s="133"/>
      <c r="Q57" s="133"/>
      <c r="S57" s="133"/>
      <c r="T57" s="133"/>
      <c r="U57" s="133"/>
      <c r="W57" s="133"/>
      <c r="X57" s="133"/>
      <c r="Z57" s="98"/>
      <c r="AA57" s="98"/>
      <c r="AC57" s="98"/>
      <c r="AD57" s="98"/>
      <c r="AE57" s="98"/>
    </row>
    <row r="58" spans="1:31" ht="15.75" customHeight="1"/>
    <row r="59" spans="1:31" ht="15.75" customHeight="1">
      <c r="Z59" t="s">
        <v>135</v>
      </c>
    </row>
    <row r="60" spans="1:31" ht="15.75" customHeight="1"/>
    <row r="61" spans="1:31" ht="15.75" customHeight="1"/>
    <row r="62" spans="1:31" ht="15.75" customHeight="1"/>
    <row r="63" spans="1:31" ht="15.75" customHeight="1"/>
    <row r="64" spans="1:3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</sheetData>
  <mergeCells count="118">
    <mergeCell ref="A4:O8"/>
    <mergeCell ref="P5:V5"/>
    <mergeCell ref="W6:AE7"/>
    <mergeCell ref="W5:AE5"/>
    <mergeCell ref="P6:V7"/>
    <mergeCell ref="AB3:AD3"/>
    <mergeCell ref="P2:S2"/>
    <mergeCell ref="AD1:AE1"/>
    <mergeCell ref="X1:AC1"/>
    <mergeCell ref="P1:W1"/>
    <mergeCell ref="P3:S3"/>
    <mergeCell ref="T3:AA3"/>
    <mergeCell ref="AB2:AE2"/>
    <mergeCell ref="T2:Z2"/>
    <mergeCell ref="AC56:AE57"/>
    <mergeCell ref="Z52:AA53"/>
    <mergeCell ref="AC52:AE53"/>
    <mergeCell ref="S48:U49"/>
    <mergeCell ref="W48:X49"/>
    <mergeCell ref="Z48:AA49"/>
    <mergeCell ref="AC48:AE49"/>
    <mergeCell ref="S52:U53"/>
    <mergeCell ref="W52:X53"/>
    <mergeCell ref="AC40:AE41"/>
    <mergeCell ref="A44:B45"/>
    <mergeCell ref="D44:M45"/>
    <mergeCell ref="O44:Q45"/>
    <mergeCell ref="S44:U45"/>
    <mergeCell ref="W44:X45"/>
    <mergeCell ref="Z44:AA45"/>
    <mergeCell ref="AC44:AE45"/>
    <mergeCell ref="D43:M43"/>
    <mergeCell ref="Z40:AA41"/>
    <mergeCell ref="A40:B41"/>
    <mergeCell ref="D40:M41"/>
    <mergeCell ref="O40:Q41"/>
    <mergeCell ref="S40:U41"/>
    <mergeCell ref="W40:X41"/>
    <mergeCell ref="O36:Q37"/>
    <mergeCell ref="S36:U37"/>
    <mergeCell ref="Z21:AA22"/>
    <mergeCell ref="Z31:AA32"/>
    <mergeCell ref="O33:Q33"/>
    <mergeCell ref="S33:U33"/>
    <mergeCell ref="W33:X33"/>
    <mergeCell ref="Z33:AA33"/>
    <mergeCell ref="A56:B57"/>
    <mergeCell ref="D56:M57"/>
    <mergeCell ref="O56:Q57"/>
    <mergeCell ref="S56:U57"/>
    <mergeCell ref="W56:X57"/>
    <mergeCell ref="Z56:AA57"/>
    <mergeCell ref="D55:M55"/>
    <mergeCell ref="A48:B49"/>
    <mergeCell ref="O48:Q49"/>
    <mergeCell ref="D47:M47"/>
    <mergeCell ref="D51:M51"/>
    <mergeCell ref="O52:Q53"/>
    <mergeCell ref="D48:M49"/>
    <mergeCell ref="A52:B53"/>
    <mergeCell ref="D52:M53"/>
    <mergeCell ref="D12:N12"/>
    <mergeCell ref="D16:M16"/>
    <mergeCell ref="W21:X22"/>
    <mergeCell ref="D17:M18"/>
    <mergeCell ref="O17:Q18"/>
    <mergeCell ref="S17:U18"/>
    <mergeCell ref="O21:Q22"/>
    <mergeCell ref="S21:U22"/>
    <mergeCell ref="D31:M32"/>
    <mergeCell ref="O31:Q32"/>
    <mergeCell ref="O13:Q14"/>
    <mergeCell ref="S13:U14"/>
    <mergeCell ref="O23:Q23"/>
    <mergeCell ref="S23:U23"/>
    <mergeCell ref="W13:X14"/>
    <mergeCell ref="D20:M20"/>
    <mergeCell ref="D25:M25"/>
    <mergeCell ref="D30:M30"/>
    <mergeCell ref="S31:U32"/>
    <mergeCell ref="W31:X32"/>
    <mergeCell ref="D26:M27"/>
    <mergeCell ref="O26:Q27"/>
    <mergeCell ref="S26:U27"/>
    <mergeCell ref="D21:M22"/>
    <mergeCell ref="Z13:AA14"/>
    <mergeCell ref="AC13:AE14"/>
    <mergeCell ref="W17:X18"/>
    <mergeCell ref="Z17:AA18"/>
    <mergeCell ref="W26:X27"/>
    <mergeCell ref="Z23:AA23"/>
    <mergeCell ref="AC23:AE23"/>
    <mergeCell ref="W23:X23"/>
    <mergeCell ref="A36:B37"/>
    <mergeCell ref="A17:B18"/>
    <mergeCell ref="A13:B14"/>
    <mergeCell ref="D13:M14"/>
    <mergeCell ref="D23:M23"/>
    <mergeCell ref="A21:B23"/>
    <mergeCell ref="A26:B28"/>
    <mergeCell ref="A31:B33"/>
    <mergeCell ref="D33:M33"/>
    <mergeCell ref="AC36:AE37"/>
    <mergeCell ref="D36:M37"/>
    <mergeCell ref="AC21:AE22"/>
    <mergeCell ref="Z26:AA27"/>
    <mergeCell ref="AC26:AE27"/>
    <mergeCell ref="W36:X37"/>
    <mergeCell ref="Z36:AA37"/>
    <mergeCell ref="AC33:AE33"/>
    <mergeCell ref="Z28:AA28"/>
    <mergeCell ref="D28:M28"/>
    <mergeCell ref="O28:Q28"/>
    <mergeCell ref="S28:U28"/>
    <mergeCell ref="W28:X28"/>
    <mergeCell ref="AC28:AE28"/>
    <mergeCell ref="AC31:AE32"/>
    <mergeCell ref="AC17:AE18"/>
  </mergeCells>
  <printOptions horizontalCentered="1"/>
  <pageMargins left="0.7" right="0.7" top="0.75" bottom="0.75" header="0.3" footer="0.3"/>
  <pageSetup orientation="portrait" horizontalDpi="4294967293" r:id="rId1"/>
  <headerFooter>
    <oddHeader>&amp;CF004 - Work Order - Rev A</oddHeader>
    <oddFooter>Page &amp;P&amp;RF004 - Work Order Rev 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B0E516-42BB-40D9-A3F0-8D20DD4EAD40}">
          <x14:formula1>
            <xm:f>'Mat types'!$A:$A</xm:f>
          </x14:formula1>
          <xm:sqref>W5:AE5</xm:sqref>
        </x14:dataValidation>
        <x14:dataValidation type="list" allowBlank="1" showInputMessage="1" showErrorMessage="1" xr:uid="{53248650-7B4E-4E6F-9654-F61EE27BEAE7}">
          <x14:formula1>
            <xm:f>'Mat types'!$B:$B</xm:f>
          </x14:formula1>
          <xm:sqref>W6:AE7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784A-7ADC-4527-9835-A19461671444}">
  <sheetPr codeName="Sheet2"/>
  <dimension ref="A1:G20"/>
  <sheetViews>
    <sheetView workbookViewId="0">
      <selection activeCell="K17" sqref="K17"/>
    </sheetView>
  </sheetViews>
  <sheetFormatPr defaultRowHeight="15"/>
  <cols>
    <col min="1" max="1" width="23.140625" customWidth="1"/>
    <col min="2" max="2" width="10.85546875" customWidth="1"/>
    <col min="3" max="3" width="2.140625" customWidth="1"/>
    <col min="4" max="4" width="22.7109375" customWidth="1"/>
    <col min="5" max="5" width="9.28515625" customWidth="1"/>
    <col min="6" max="6" width="21.5703125" customWidth="1"/>
  </cols>
  <sheetData>
    <row r="1" spans="1:7" ht="26.25" customHeight="1">
      <c r="A1" s="155" t="s">
        <v>140</v>
      </c>
      <c r="B1" s="156"/>
      <c r="C1" s="156"/>
      <c r="D1" s="156"/>
      <c r="E1" s="156"/>
      <c r="F1" s="157"/>
    </row>
    <row r="2" spans="1:7" ht="26.25" customHeight="1">
      <c r="A2" s="158" t="e" vm="2">
        <f>'Part 555'!A4</f>
        <v>#VALUE!</v>
      </c>
      <c r="B2" s="72" t="s">
        <v>143</v>
      </c>
      <c r="C2" s="162" t="str">
        <f>'Part 555'!T2</f>
        <v>PO#1392-000226</v>
      </c>
      <c r="D2" s="163"/>
      <c r="E2" s="163"/>
      <c r="F2" s="164"/>
    </row>
    <row r="3" spans="1:7" ht="26.25" customHeight="1">
      <c r="A3" s="158"/>
      <c r="B3" s="72" t="s">
        <v>144</v>
      </c>
      <c r="C3" s="165" t="str">
        <f>'Part 555'!T3</f>
        <v>AM00693-2</v>
      </c>
      <c r="D3" s="166"/>
      <c r="E3" s="72" t="s">
        <v>142</v>
      </c>
      <c r="F3" s="71">
        <f>'Part 555'!AE3</f>
        <v>4</v>
      </c>
    </row>
    <row r="4" spans="1:7" s="70" customFormat="1" ht="35.25" customHeight="1">
      <c r="A4" s="73" t="s">
        <v>139</v>
      </c>
      <c r="B4" s="159"/>
      <c r="C4" s="160"/>
      <c r="D4" s="161"/>
      <c r="E4" s="73" t="s">
        <v>22</v>
      </c>
      <c r="F4" s="73"/>
    </row>
    <row r="5" spans="1:7" s="70" customFormat="1" ht="35.25" customHeight="1">
      <c r="A5" s="74" t="s">
        <v>145</v>
      </c>
      <c r="B5" s="169"/>
      <c r="C5" s="170"/>
      <c r="D5" s="170"/>
      <c r="E5" s="170"/>
      <c r="F5" s="171"/>
    </row>
    <row r="6" spans="1:7" s="70" customFormat="1" ht="35.25" customHeight="1">
      <c r="A6" s="74" t="s">
        <v>146</v>
      </c>
      <c r="B6" s="172"/>
      <c r="C6" s="167"/>
      <c r="D6" s="167"/>
      <c r="E6" s="167"/>
      <c r="F6" s="168"/>
    </row>
    <row r="7" spans="1:7" s="70" customFormat="1" ht="35.25" customHeight="1">
      <c r="A7" s="74" t="s">
        <v>147</v>
      </c>
      <c r="B7" s="172"/>
      <c r="C7" s="167"/>
      <c r="D7" s="167"/>
      <c r="E7" s="167"/>
      <c r="F7" s="168"/>
    </row>
    <row r="8" spans="1:7" s="70" customFormat="1" ht="35.25" customHeight="1">
      <c r="A8" s="75" t="s">
        <v>148</v>
      </c>
      <c r="B8" s="173"/>
      <c r="C8" s="174"/>
      <c r="D8" s="174"/>
      <c r="E8" s="174"/>
      <c r="F8" s="175"/>
    </row>
    <row r="9" spans="1:7" ht="35.25" customHeight="1">
      <c r="A9" s="76" t="s">
        <v>149</v>
      </c>
      <c r="B9" s="170"/>
      <c r="C9" s="170"/>
      <c r="D9" s="170"/>
      <c r="E9" s="170"/>
      <c r="F9" s="171"/>
      <c r="G9" s="7"/>
    </row>
    <row r="10" spans="1:7" ht="35.25" customHeight="1">
      <c r="A10" s="77"/>
      <c r="B10" s="170"/>
      <c r="C10" s="170"/>
      <c r="D10" s="170"/>
      <c r="E10" s="170"/>
      <c r="F10" s="171"/>
      <c r="G10" s="7"/>
    </row>
    <row r="11" spans="1:7" ht="35.25" customHeight="1">
      <c r="A11" s="77"/>
      <c r="B11" s="170"/>
      <c r="C11" s="170"/>
      <c r="D11" s="170"/>
      <c r="E11" s="170"/>
      <c r="F11" s="171"/>
      <c r="G11" s="7"/>
    </row>
    <row r="12" spans="1:7" ht="35.25" customHeight="1">
      <c r="A12" s="77"/>
      <c r="B12" s="170"/>
      <c r="C12" s="170"/>
      <c r="D12" s="170"/>
      <c r="E12" s="170"/>
      <c r="F12" s="171"/>
      <c r="G12" s="7"/>
    </row>
    <row r="13" spans="1:7" ht="35.25" customHeight="1">
      <c r="A13" s="77"/>
      <c r="B13" s="170"/>
      <c r="C13" s="170"/>
      <c r="D13" s="170"/>
      <c r="E13" s="170"/>
      <c r="F13" s="171"/>
      <c r="G13" s="7"/>
    </row>
    <row r="14" spans="1:7" ht="35.25" customHeight="1">
      <c r="A14" s="77"/>
      <c r="B14" s="170"/>
      <c r="C14" s="170"/>
      <c r="D14" s="170"/>
      <c r="E14" s="170"/>
      <c r="F14" s="171"/>
      <c r="G14" s="7"/>
    </row>
    <row r="15" spans="1:7" ht="35.25" customHeight="1">
      <c r="A15" s="77"/>
      <c r="B15" s="170"/>
      <c r="C15" s="170"/>
      <c r="D15" s="170"/>
      <c r="E15" s="170"/>
      <c r="F15" s="171"/>
      <c r="G15" s="7"/>
    </row>
    <row r="16" spans="1:7" ht="35.25" customHeight="1">
      <c r="A16" s="77"/>
      <c r="B16" s="170"/>
      <c r="C16" s="170"/>
      <c r="D16" s="170"/>
      <c r="E16" s="170"/>
      <c r="F16" s="171"/>
      <c r="G16" s="7"/>
    </row>
    <row r="17" spans="1:6" ht="35.25" customHeight="1">
      <c r="A17" s="77"/>
      <c r="B17" s="167"/>
      <c r="C17" s="167"/>
      <c r="D17" s="167"/>
      <c r="E17" s="167"/>
      <c r="F17" s="168"/>
    </row>
    <row r="18" spans="1:6" ht="35.25" customHeight="1">
      <c r="A18" s="77"/>
      <c r="B18" s="167"/>
      <c r="C18" s="167"/>
      <c r="D18" s="167"/>
      <c r="E18" s="167"/>
      <c r="F18" s="168"/>
    </row>
    <row r="19" spans="1:6" ht="35.25" customHeight="1">
      <c r="A19" s="77"/>
      <c r="B19" s="167"/>
      <c r="C19" s="167"/>
      <c r="D19" s="167"/>
      <c r="E19" s="167"/>
      <c r="F19" s="168"/>
    </row>
    <row r="20" spans="1:6" ht="35.25" customHeight="1">
      <c r="A20" s="77"/>
      <c r="B20" s="167"/>
      <c r="C20" s="167"/>
      <c r="D20" s="167"/>
      <c r="E20" s="167"/>
      <c r="F20" s="168"/>
    </row>
  </sheetData>
  <mergeCells count="21">
    <mergeCell ref="B17:F17"/>
    <mergeCell ref="B18:F18"/>
    <mergeCell ref="B19:F19"/>
    <mergeCell ref="B20:F20"/>
    <mergeCell ref="B5:F5"/>
    <mergeCell ref="B9:F9"/>
    <mergeCell ref="B10:F10"/>
    <mergeCell ref="B11:F11"/>
    <mergeCell ref="B12:F12"/>
    <mergeCell ref="B6:F6"/>
    <mergeCell ref="B7:F7"/>
    <mergeCell ref="B8:F8"/>
    <mergeCell ref="B13:F13"/>
    <mergeCell ref="B14:F14"/>
    <mergeCell ref="B15:F15"/>
    <mergeCell ref="B16:F16"/>
    <mergeCell ref="A1:F1"/>
    <mergeCell ref="A2:A3"/>
    <mergeCell ref="B4:D4"/>
    <mergeCell ref="C2:F2"/>
    <mergeCell ref="C3:D3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78C2-69DD-4579-A43F-D5B549918A39}">
  <sheetPr codeName="Sheet3"/>
  <dimension ref="A1:D13"/>
  <sheetViews>
    <sheetView workbookViewId="0"/>
  </sheetViews>
  <sheetFormatPr defaultRowHeight="15"/>
  <sheetData>
    <row r="1" spans="1:4">
      <c r="A1" s="84">
        <v>0.64583333333333337</v>
      </c>
      <c r="B1" s="84">
        <v>0.46875</v>
      </c>
      <c r="C1" s="84">
        <f t="shared" ref="C1:C11" si="0">A1-B1</f>
        <v>0.17708333333333337</v>
      </c>
    </row>
    <row r="2" spans="1:4">
      <c r="A2" s="84">
        <v>0.71875</v>
      </c>
      <c r="B2" s="84">
        <v>0.58472222222222225</v>
      </c>
      <c r="C2" s="84">
        <f t="shared" si="0"/>
        <v>0.13402777777777775</v>
      </c>
    </row>
    <row r="3" spans="1:4">
      <c r="A3" s="84">
        <v>0.56319444444444444</v>
      </c>
      <c r="B3" s="84">
        <v>0.36041666666666666</v>
      </c>
      <c r="C3" s="84">
        <f t="shared" si="0"/>
        <v>0.20277777777777778</v>
      </c>
    </row>
    <row r="4" spans="1:4">
      <c r="A4" s="84">
        <v>0.52847222222222223</v>
      </c>
      <c r="B4" s="84">
        <v>0.39583333333333331</v>
      </c>
      <c r="C4" s="84">
        <f t="shared" si="0"/>
        <v>0.13263888888888892</v>
      </c>
    </row>
    <row r="5" spans="1:4">
      <c r="A5" s="84">
        <v>0.82291666666666663</v>
      </c>
      <c r="B5" s="84">
        <v>0.64930555555555558</v>
      </c>
      <c r="C5" s="84">
        <f t="shared" si="0"/>
        <v>0.17361111111111105</v>
      </c>
    </row>
    <row r="6" spans="1:4">
      <c r="A6" s="84">
        <v>0.625</v>
      </c>
      <c r="B6" s="84">
        <v>0.44722222222222224</v>
      </c>
      <c r="C6" s="84">
        <f t="shared" si="0"/>
        <v>0.17777777777777776</v>
      </c>
    </row>
    <row r="7" spans="1:4">
      <c r="A7" s="84">
        <v>0.76041666666666663</v>
      </c>
      <c r="B7" s="84">
        <v>0.5625</v>
      </c>
      <c r="C7" s="84">
        <f t="shared" si="0"/>
        <v>0.19791666666666663</v>
      </c>
    </row>
    <row r="8" spans="1:4">
      <c r="A8" s="84">
        <v>0.53125</v>
      </c>
      <c r="B8" s="84">
        <v>0.3347222222222222</v>
      </c>
      <c r="C8" s="84">
        <f t="shared" si="0"/>
        <v>0.1965277777777778</v>
      </c>
    </row>
    <row r="9" spans="1:4">
      <c r="A9" s="84">
        <v>0.76527777777777772</v>
      </c>
      <c r="B9" s="84">
        <v>0.61111111111111116</v>
      </c>
      <c r="C9" s="84">
        <f t="shared" si="0"/>
        <v>0.15416666666666656</v>
      </c>
    </row>
    <row r="10" spans="1:4">
      <c r="A10" s="84">
        <v>0.77083333333333337</v>
      </c>
      <c r="B10" s="84">
        <v>0.58888888888888891</v>
      </c>
      <c r="C10" s="84">
        <f t="shared" si="0"/>
        <v>0.18194444444444446</v>
      </c>
    </row>
    <row r="11" spans="1:4">
      <c r="A11" s="84">
        <v>0.55763888888888891</v>
      </c>
      <c r="B11" s="84">
        <v>0.36805555555555558</v>
      </c>
      <c r="C11" s="85">
        <f t="shared" si="0"/>
        <v>0.18958333333333333</v>
      </c>
    </row>
    <row r="12" spans="1:4">
      <c r="B12" s="7"/>
      <c r="C12" s="86">
        <f>SUM(C1:C11)</f>
        <v>1.9180555555555556</v>
      </c>
      <c r="D12" s="7"/>
    </row>
    <row r="13" spans="1:4">
      <c r="C1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D02B-EB97-42F5-B203-F8E5D9AA552A}">
  <sheetPr codeName="Sheet4"/>
  <dimension ref="A1:B81"/>
  <sheetViews>
    <sheetView topLeftCell="A67" workbookViewId="0">
      <selection activeCell="B84" sqref="B84"/>
    </sheetView>
  </sheetViews>
  <sheetFormatPr defaultRowHeight="15"/>
  <cols>
    <col min="1" max="1" width="28.5703125" customWidth="1"/>
    <col min="2" max="2" width="31.42578125" customWidth="1"/>
  </cols>
  <sheetData>
    <row r="1" spans="1:2">
      <c r="A1" t="s">
        <v>104</v>
      </c>
    </row>
    <row r="2" spans="1:2" ht="14.25" customHeight="1">
      <c r="A2" s="25" t="s">
        <v>61</v>
      </c>
      <c r="B2" t="s">
        <v>60</v>
      </c>
    </row>
    <row r="3" spans="1:2" ht="14.25" customHeight="1">
      <c r="A3" s="49" t="s">
        <v>108</v>
      </c>
    </row>
    <row r="4" spans="1:2">
      <c r="A4" s="26" t="s">
        <v>68</v>
      </c>
      <c r="B4" t="s">
        <v>66</v>
      </c>
    </row>
    <row r="5" spans="1:2">
      <c r="A5" s="30" t="s">
        <v>74</v>
      </c>
      <c r="B5" s="30" t="s">
        <v>75</v>
      </c>
    </row>
    <row r="6" spans="1:2">
      <c r="A6" s="30" t="s">
        <v>100</v>
      </c>
      <c r="B6" s="30"/>
    </row>
    <row r="7" spans="1:2">
      <c r="A7" s="30" t="s">
        <v>62</v>
      </c>
      <c r="B7" s="31" t="s">
        <v>76</v>
      </c>
    </row>
    <row r="8" spans="1:2">
      <c r="A8" s="42" t="s">
        <v>94</v>
      </c>
      <c r="B8" s="32" t="s">
        <v>77</v>
      </c>
    </row>
    <row r="9" spans="1:2">
      <c r="A9" s="46" t="s">
        <v>99</v>
      </c>
      <c r="B9" s="32"/>
    </row>
    <row r="10" spans="1:2">
      <c r="A10" s="49" t="s">
        <v>107</v>
      </c>
      <c r="B10" s="32"/>
    </row>
    <row r="11" spans="1:2">
      <c r="A11" s="25" t="s">
        <v>63</v>
      </c>
      <c r="B11" s="33" t="s">
        <v>79</v>
      </c>
    </row>
    <row r="12" spans="1:2">
      <c r="A12" s="34" t="s">
        <v>84</v>
      </c>
      <c r="B12" s="33" t="s">
        <v>80</v>
      </c>
    </row>
    <row r="13" spans="1:2">
      <c r="A13" s="25" t="s">
        <v>64</v>
      </c>
    </row>
    <row r="14" spans="1:2">
      <c r="A14" s="43" t="s">
        <v>96</v>
      </c>
    </row>
    <row r="15" spans="1:2">
      <c r="A15" s="25" t="s">
        <v>65</v>
      </c>
    </row>
    <row r="16" spans="1:2">
      <c r="A16" s="28" t="s">
        <v>67</v>
      </c>
    </row>
    <row r="17" spans="1:1">
      <c r="A17" s="27" t="s">
        <v>69</v>
      </c>
    </row>
    <row r="18" spans="1:1">
      <c r="A18" s="28" t="s">
        <v>70</v>
      </c>
    </row>
    <row r="19" spans="1:1">
      <c r="A19" s="42" t="s">
        <v>95</v>
      </c>
    </row>
    <row r="20" spans="1:1">
      <c r="A20" s="35" t="s">
        <v>85</v>
      </c>
    </row>
    <row r="21" spans="1:1">
      <c r="A21" s="28" t="s">
        <v>71</v>
      </c>
    </row>
    <row r="22" spans="1:1">
      <c r="A22" s="28" t="s">
        <v>72</v>
      </c>
    </row>
    <row r="23" spans="1:1">
      <c r="A23" s="29" t="s">
        <v>73</v>
      </c>
    </row>
    <row r="24" spans="1:1">
      <c r="A24" s="49" t="s">
        <v>106</v>
      </c>
    </row>
    <row r="25" spans="1:1">
      <c r="A25" s="33" t="s">
        <v>78</v>
      </c>
    </row>
    <row r="26" spans="1:1">
      <c r="A26" s="51" t="s">
        <v>110</v>
      </c>
    </row>
    <row r="27" spans="1:1">
      <c r="A27" s="33" t="s">
        <v>81</v>
      </c>
    </row>
    <row r="28" spans="1:1">
      <c r="A28" s="33" t="s">
        <v>82</v>
      </c>
    </row>
    <row r="29" spans="1:1">
      <c r="A29" s="33" t="s">
        <v>83</v>
      </c>
    </row>
    <row r="30" spans="1:1">
      <c r="A30" s="36" t="s">
        <v>86</v>
      </c>
    </row>
    <row r="31" spans="1:1">
      <c r="A31" s="32" t="s">
        <v>87</v>
      </c>
    </row>
    <row r="32" spans="1:1">
      <c r="A32" s="32" t="s">
        <v>105</v>
      </c>
    </row>
    <row r="33" spans="1:1">
      <c r="A33" s="55" t="s">
        <v>114</v>
      </c>
    </row>
    <row r="34" spans="1:1">
      <c r="A34" s="37" t="s">
        <v>88</v>
      </c>
    </row>
    <row r="35" spans="1:1">
      <c r="A35" s="38" t="s">
        <v>89</v>
      </c>
    </row>
    <row r="36" spans="1:1">
      <c r="A36" s="49" t="s">
        <v>90</v>
      </c>
    </row>
    <row r="37" spans="1:1" ht="15.75">
      <c r="A37" s="39" t="s">
        <v>91</v>
      </c>
    </row>
    <row r="38" spans="1:1">
      <c r="A38" s="40" t="s">
        <v>92</v>
      </c>
    </row>
    <row r="39" spans="1:1" ht="30">
      <c r="A39" s="41" t="s">
        <v>93</v>
      </c>
    </row>
    <row r="40" spans="1:1">
      <c r="A40" s="44" t="s">
        <v>97</v>
      </c>
    </row>
    <row r="41" spans="1:1">
      <c r="A41" s="46" t="s">
        <v>101</v>
      </c>
    </row>
    <row r="42" spans="1:1">
      <c r="A42" s="47" t="s">
        <v>102</v>
      </c>
    </row>
    <row r="43" spans="1:1">
      <c r="A43" s="48" t="s">
        <v>103</v>
      </c>
    </row>
    <row r="44" spans="1:1">
      <c r="A44" s="50" t="s">
        <v>109</v>
      </c>
    </row>
    <row r="45" spans="1:1">
      <c r="A45" s="52" t="s">
        <v>111</v>
      </c>
    </row>
    <row r="46" spans="1:1">
      <c r="A46" s="55" t="s">
        <v>112</v>
      </c>
    </row>
    <row r="47" spans="1:1">
      <c r="A47" s="55" t="s">
        <v>113</v>
      </c>
    </row>
    <row r="48" spans="1:1">
      <c r="A48" s="55" t="s">
        <v>115</v>
      </c>
    </row>
    <row r="49" spans="1:1" ht="30">
      <c r="A49" s="56" t="s">
        <v>116</v>
      </c>
    </row>
    <row r="50" spans="1:1">
      <c r="A50" s="55" t="s">
        <v>117</v>
      </c>
    </row>
    <row r="51" spans="1:1">
      <c r="A51" s="58" t="s">
        <v>118</v>
      </c>
    </row>
    <row r="52" spans="1:1">
      <c r="A52" s="58" t="s">
        <v>119</v>
      </c>
    </row>
    <row r="53" spans="1:1">
      <c r="A53" t="s">
        <v>121</v>
      </c>
    </row>
    <row r="54" spans="1:1">
      <c r="A54" s="58" t="s">
        <v>120</v>
      </c>
    </row>
    <row r="55" spans="1:1" ht="30">
      <c r="A55" s="56" t="s">
        <v>122</v>
      </c>
    </row>
    <row r="56" spans="1:1">
      <c r="A56" t="s">
        <v>123</v>
      </c>
    </row>
    <row r="57" spans="1:1">
      <c r="A57" t="s">
        <v>124</v>
      </c>
    </row>
    <row r="58" spans="1:1">
      <c r="A58" t="s">
        <v>125</v>
      </c>
    </row>
    <row r="59" spans="1:1">
      <c r="A59" t="s">
        <v>126</v>
      </c>
    </row>
    <row r="60" spans="1:1">
      <c r="A60" t="s">
        <v>127</v>
      </c>
    </row>
    <row r="61" spans="1:1">
      <c r="A61" s="59" t="s">
        <v>128</v>
      </c>
    </row>
    <row r="62" spans="1:1">
      <c r="A62" s="60" t="s">
        <v>129</v>
      </c>
    </row>
    <row r="63" spans="1:1">
      <c r="A63" s="61" t="s">
        <v>130</v>
      </c>
    </row>
    <row r="64" spans="1:1">
      <c r="A64" s="62" t="s">
        <v>131</v>
      </c>
    </row>
    <row r="65" spans="1:1">
      <c r="A65" s="63" t="s">
        <v>132</v>
      </c>
    </row>
    <row r="66" spans="1:1">
      <c r="A66" s="63" t="s">
        <v>133</v>
      </c>
    </row>
    <row r="67" spans="1:1">
      <c r="A67" s="63" t="s">
        <v>134</v>
      </c>
    </row>
    <row r="68" spans="1:1">
      <c r="A68" s="64" t="s">
        <v>136</v>
      </c>
    </row>
    <row r="69" spans="1:1">
      <c r="A69" s="65" t="s">
        <v>137</v>
      </c>
    </row>
    <row r="70" spans="1:1">
      <c r="A70" s="78" t="s">
        <v>150</v>
      </c>
    </row>
    <row r="71" spans="1:1">
      <c r="A71" s="79" t="s">
        <v>151</v>
      </c>
    </row>
    <row r="72" spans="1:1">
      <c r="A72" s="79" t="s">
        <v>152</v>
      </c>
    </row>
    <row r="73" spans="1:1">
      <c r="A73" s="80" t="s">
        <v>153</v>
      </c>
    </row>
    <row r="74" spans="1:1">
      <c r="A74" s="56" t="s">
        <v>155</v>
      </c>
    </row>
    <row r="75" spans="1:1" ht="45">
      <c r="A75" s="56" t="s">
        <v>156</v>
      </c>
    </row>
    <row r="76" spans="1:1">
      <c r="A76" s="82" t="s">
        <v>157</v>
      </c>
    </row>
    <row r="77" spans="1:1">
      <c r="A77" s="83" t="s">
        <v>158</v>
      </c>
    </row>
    <row r="78" spans="1:1">
      <c r="A78" s="88" t="s">
        <v>159</v>
      </c>
    </row>
    <row r="79" spans="1:1">
      <c r="A79" s="89" t="s">
        <v>160</v>
      </c>
    </row>
    <row r="80" spans="1:1">
      <c r="A80" s="90" t="s">
        <v>163</v>
      </c>
    </row>
    <row r="81" spans="1:1">
      <c r="A81" s="90" t="s">
        <v>164</v>
      </c>
    </row>
  </sheetData>
  <phoneticPr fontId="5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outlinePr summaryBelow="0" summaryRight="0"/>
  </sheetPr>
  <dimension ref="A2:AE1000"/>
  <sheetViews>
    <sheetView topLeftCell="A4" workbookViewId="0">
      <selection activeCell="AG20" sqref="AG20"/>
    </sheetView>
  </sheetViews>
  <sheetFormatPr defaultColWidth="14.42578125" defaultRowHeight="15" customHeight="1"/>
  <cols>
    <col min="1" max="16" width="2.85546875" customWidth="1"/>
    <col min="17" max="17" width="1.7109375" customWidth="1"/>
    <col min="18" max="18" width="3.140625" customWidth="1"/>
    <col min="19" max="20" width="2.85546875" customWidth="1"/>
    <col min="21" max="21" width="2.28515625" customWidth="1"/>
    <col min="22" max="27" width="2.85546875" customWidth="1"/>
    <col min="28" max="28" width="3.85546875" customWidth="1"/>
    <col min="29" max="30" width="2.85546875" customWidth="1"/>
    <col min="31" max="31" width="5" customWidth="1"/>
  </cols>
  <sheetData>
    <row r="2" spans="1:31">
      <c r="A2" s="1" t="s">
        <v>0</v>
      </c>
      <c r="C2" s="191" t="s">
        <v>23</v>
      </c>
      <c r="D2" s="185"/>
      <c r="E2" s="185"/>
      <c r="F2" s="185"/>
      <c r="G2" s="185"/>
      <c r="H2" s="185"/>
      <c r="I2" s="185"/>
      <c r="J2" s="185"/>
      <c r="K2" s="185"/>
      <c r="L2" s="186"/>
      <c r="M2" s="195" t="s">
        <v>1</v>
      </c>
      <c r="N2" s="183"/>
      <c r="O2" s="176">
        <v>50</v>
      </c>
      <c r="P2" s="180"/>
      <c r="Q2" s="180"/>
      <c r="R2" s="177"/>
      <c r="S2" s="1" t="s">
        <v>2</v>
      </c>
      <c r="U2" s="196">
        <v>45689</v>
      </c>
      <c r="V2" s="180"/>
      <c r="W2" s="180"/>
      <c r="X2" s="177"/>
      <c r="Y2" s="182" t="s">
        <v>3</v>
      </c>
      <c r="Z2" s="183"/>
      <c r="AA2" s="184" t="s">
        <v>24</v>
      </c>
      <c r="AB2" s="185"/>
      <c r="AC2" s="185"/>
      <c r="AD2" s="184" t="s">
        <v>25</v>
      </c>
      <c r="AE2" s="186"/>
    </row>
    <row r="3" spans="1:31">
      <c r="A3" s="1" t="s">
        <v>4</v>
      </c>
      <c r="E3" s="191"/>
      <c r="F3" s="185"/>
      <c r="G3" s="185"/>
      <c r="H3" s="185"/>
      <c r="I3" s="185"/>
      <c r="J3" s="185"/>
      <c r="K3" s="185"/>
      <c r="L3" s="186"/>
      <c r="M3" s="194" t="s">
        <v>5</v>
      </c>
      <c r="N3" s="183"/>
      <c r="O3" s="191"/>
      <c r="P3" s="185"/>
      <c r="Q3" s="185"/>
      <c r="R3" s="185"/>
      <c r="S3" s="185"/>
      <c r="T3" s="185"/>
      <c r="U3" s="185"/>
      <c r="V3" s="185"/>
      <c r="W3" s="185"/>
      <c r="X3" s="186"/>
      <c r="Y3" s="187" t="s">
        <v>26</v>
      </c>
      <c r="Z3" s="181"/>
      <c r="AA3" s="181"/>
      <c r="AB3" s="181"/>
      <c r="AC3" s="181"/>
      <c r="AD3" s="184"/>
      <c r="AE3" s="186"/>
    </row>
    <row r="4" spans="1:31">
      <c r="Y4" s="3"/>
      <c r="Z4" s="3"/>
      <c r="AA4" s="4"/>
      <c r="AB4" s="4"/>
      <c r="AC4" s="4"/>
      <c r="AD4" s="4"/>
      <c r="AE4" s="5"/>
    </row>
    <row r="5" spans="1:31" ht="3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idden="1">
      <c r="A6" s="192" t="s">
        <v>6</v>
      </c>
      <c r="B6" s="183"/>
      <c r="C6" s="183"/>
      <c r="D6" s="193"/>
      <c r="E6" s="191"/>
      <c r="F6" s="185"/>
      <c r="G6" s="185"/>
      <c r="H6" s="185"/>
      <c r="I6" s="185"/>
      <c r="J6" s="185"/>
      <c r="K6" s="185"/>
      <c r="L6" s="186"/>
      <c r="M6" s="1" t="s">
        <v>7</v>
      </c>
      <c r="O6" s="191"/>
      <c r="P6" s="185"/>
      <c r="Q6" s="185"/>
      <c r="R6" s="186"/>
      <c r="S6" s="194" t="s">
        <v>8</v>
      </c>
      <c r="T6" s="183"/>
      <c r="U6" s="183"/>
      <c r="V6" s="191"/>
      <c r="W6" s="185"/>
      <c r="X6" s="185"/>
      <c r="Y6" s="185"/>
      <c r="Z6" s="185"/>
      <c r="AA6" s="185"/>
      <c r="AB6" s="185"/>
      <c r="AC6" s="185"/>
      <c r="AD6" s="185"/>
      <c r="AE6" s="186"/>
    </row>
    <row r="7" spans="1:31" hidden="1">
      <c r="A7" s="192" t="s">
        <v>9</v>
      </c>
      <c r="B7" s="183"/>
      <c r="C7" s="183"/>
      <c r="D7" s="193"/>
      <c r="E7" s="191"/>
      <c r="F7" s="185"/>
      <c r="G7" s="185"/>
      <c r="H7" s="185"/>
      <c r="I7" s="185"/>
      <c r="J7" s="185"/>
      <c r="K7" s="185"/>
      <c r="L7" s="186"/>
      <c r="M7" s="1" t="s">
        <v>7</v>
      </c>
      <c r="O7" s="191"/>
      <c r="P7" s="185"/>
      <c r="Q7" s="185"/>
      <c r="R7" s="186"/>
      <c r="S7" s="194" t="s">
        <v>8</v>
      </c>
      <c r="T7" s="183"/>
      <c r="U7" s="183"/>
      <c r="V7" s="176"/>
      <c r="W7" s="180"/>
      <c r="X7" s="180"/>
      <c r="Y7" s="180"/>
      <c r="Z7" s="180"/>
      <c r="AA7" s="180"/>
      <c r="AB7" s="180"/>
      <c r="AC7" s="180"/>
      <c r="AD7" s="180"/>
      <c r="AE7" s="177"/>
    </row>
    <row r="8" spans="1:31">
      <c r="A8" s="1" t="s">
        <v>10</v>
      </c>
      <c r="F8" s="191" t="s">
        <v>11</v>
      </c>
      <c r="G8" s="185"/>
      <c r="H8" s="185"/>
      <c r="I8" s="185"/>
      <c r="J8" s="185"/>
      <c r="K8" s="185"/>
      <c r="L8" s="186"/>
      <c r="M8" s="1" t="s">
        <v>12</v>
      </c>
      <c r="T8" s="191" t="s">
        <v>13</v>
      </c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6"/>
    </row>
    <row r="9" spans="1:31" ht="14.25" hidden="1" customHeight="1">
      <c r="A9" s="1" t="s">
        <v>14</v>
      </c>
      <c r="F9" s="191"/>
      <c r="G9" s="185"/>
      <c r="H9" s="185"/>
      <c r="I9" s="186"/>
      <c r="J9" s="2"/>
      <c r="K9" s="2" t="s">
        <v>15</v>
      </c>
      <c r="L9" s="2"/>
      <c r="M9" s="191"/>
      <c r="N9" s="185"/>
      <c r="O9" s="185"/>
      <c r="P9" s="185"/>
      <c r="Q9" s="186"/>
      <c r="T9" s="1" t="s">
        <v>8</v>
      </c>
      <c r="V9" s="191"/>
      <c r="W9" s="185"/>
      <c r="X9" s="185"/>
      <c r="Y9" s="185"/>
      <c r="Z9" s="185"/>
      <c r="AA9" s="185"/>
      <c r="AB9" s="185"/>
      <c r="AC9" s="185"/>
      <c r="AD9" s="185"/>
      <c r="AE9" s="186"/>
    </row>
    <row r="11" spans="1:31">
      <c r="A11" s="1" t="s">
        <v>16</v>
      </c>
      <c r="D11" s="1" t="s">
        <v>17</v>
      </c>
      <c r="O11" s="1" t="s">
        <v>18</v>
      </c>
      <c r="S11" s="1" t="s">
        <v>19</v>
      </c>
      <c r="W11" s="1" t="s">
        <v>20</v>
      </c>
      <c r="Z11" s="1" t="s">
        <v>21</v>
      </c>
      <c r="AC11" s="1" t="s">
        <v>22</v>
      </c>
    </row>
    <row r="12" spans="1:31">
      <c r="A12" s="188">
        <v>10</v>
      </c>
      <c r="B12" s="177"/>
      <c r="D12" s="189" t="s">
        <v>27</v>
      </c>
      <c r="E12" s="180"/>
      <c r="F12" s="180"/>
      <c r="G12" s="180"/>
      <c r="H12" s="180"/>
      <c r="I12" s="180"/>
      <c r="J12" s="180"/>
      <c r="K12" s="180"/>
      <c r="L12" s="180"/>
      <c r="M12" s="177"/>
      <c r="O12" s="190"/>
      <c r="P12" s="180"/>
      <c r="Q12" s="177"/>
      <c r="S12" s="190"/>
      <c r="T12" s="180"/>
      <c r="U12" s="177"/>
      <c r="W12" s="190"/>
      <c r="X12" s="177"/>
      <c r="Z12" s="176"/>
      <c r="AA12" s="177"/>
      <c r="AC12" s="176"/>
      <c r="AD12" s="180"/>
      <c r="AE12" s="177"/>
    </row>
    <row r="13" spans="1:31" ht="59.25" customHeight="1">
      <c r="A13" s="178"/>
      <c r="B13" s="179"/>
      <c r="D13" s="178"/>
      <c r="E13" s="181"/>
      <c r="F13" s="181"/>
      <c r="G13" s="181"/>
      <c r="H13" s="181"/>
      <c r="I13" s="181"/>
      <c r="J13" s="181"/>
      <c r="K13" s="181"/>
      <c r="L13" s="181"/>
      <c r="M13" s="179"/>
      <c r="O13" s="178"/>
      <c r="P13" s="181"/>
      <c r="Q13" s="179"/>
      <c r="S13" s="178"/>
      <c r="T13" s="181"/>
      <c r="U13" s="179"/>
      <c r="W13" s="178"/>
      <c r="X13" s="179"/>
      <c r="Z13" s="178"/>
      <c r="AA13" s="179"/>
      <c r="AC13" s="178"/>
      <c r="AD13" s="181"/>
      <c r="AE13" s="179"/>
    </row>
    <row r="15" spans="1:31">
      <c r="A15" s="1" t="s">
        <v>16</v>
      </c>
      <c r="D15" s="1" t="s">
        <v>17</v>
      </c>
      <c r="O15" s="1" t="s">
        <v>18</v>
      </c>
      <c r="S15" s="1" t="s">
        <v>19</v>
      </c>
      <c r="W15" s="1" t="s">
        <v>20</v>
      </c>
      <c r="Z15" s="1" t="s">
        <v>21</v>
      </c>
      <c r="AC15" s="1" t="s">
        <v>22</v>
      </c>
    </row>
    <row r="16" spans="1:31">
      <c r="A16" s="188">
        <v>20</v>
      </c>
      <c r="B16" s="177"/>
      <c r="D16" s="189" t="s">
        <v>28</v>
      </c>
      <c r="E16" s="180"/>
      <c r="F16" s="180"/>
      <c r="G16" s="180"/>
      <c r="H16" s="180"/>
      <c r="I16" s="180"/>
      <c r="J16" s="180"/>
      <c r="K16" s="180"/>
      <c r="L16" s="180"/>
      <c r="M16" s="177"/>
      <c r="O16" s="176">
        <v>50</v>
      </c>
      <c r="P16" s="180"/>
      <c r="Q16" s="177"/>
      <c r="S16" s="176">
        <v>1</v>
      </c>
      <c r="T16" s="180"/>
      <c r="U16" s="177"/>
      <c r="W16" s="176"/>
      <c r="X16" s="177"/>
      <c r="Z16" s="176"/>
      <c r="AA16" s="177"/>
      <c r="AC16" s="176"/>
      <c r="AD16" s="180"/>
      <c r="AE16" s="177"/>
    </row>
    <row r="17" spans="1:31" ht="96" customHeight="1">
      <c r="A17" s="178"/>
      <c r="B17" s="179"/>
      <c r="D17" s="178"/>
      <c r="E17" s="181"/>
      <c r="F17" s="181"/>
      <c r="G17" s="181"/>
      <c r="H17" s="181"/>
      <c r="I17" s="181"/>
      <c r="J17" s="181"/>
      <c r="K17" s="181"/>
      <c r="L17" s="181"/>
      <c r="M17" s="179"/>
      <c r="O17" s="178"/>
      <c r="P17" s="181"/>
      <c r="Q17" s="179"/>
      <c r="S17" s="178"/>
      <c r="T17" s="181"/>
      <c r="U17" s="179"/>
      <c r="W17" s="178"/>
      <c r="X17" s="179"/>
      <c r="Z17" s="178"/>
      <c r="AA17" s="179"/>
      <c r="AC17" s="178"/>
      <c r="AD17" s="181"/>
      <c r="AE17" s="179"/>
    </row>
    <row r="19" spans="1:31">
      <c r="A19" s="1" t="s">
        <v>16</v>
      </c>
      <c r="D19" s="1" t="s">
        <v>17</v>
      </c>
      <c r="O19" s="1" t="s">
        <v>18</v>
      </c>
      <c r="S19" s="1" t="s">
        <v>19</v>
      </c>
      <c r="W19" s="1" t="s">
        <v>20</v>
      </c>
      <c r="Z19" s="1" t="s">
        <v>21</v>
      </c>
      <c r="AC19" s="1" t="s">
        <v>22</v>
      </c>
    </row>
    <row r="20" spans="1:31">
      <c r="A20" s="188">
        <v>30</v>
      </c>
      <c r="B20" s="177"/>
      <c r="D20" s="189" t="s">
        <v>29</v>
      </c>
      <c r="E20" s="180"/>
      <c r="F20" s="180"/>
      <c r="G20" s="180"/>
      <c r="H20" s="180"/>
      <c r="I20" s="180"/>
      <c r="J20" s="180"/>
      <c r="K20" s="180"/>
      <c r="L20" s="180"/>
      <c r="M20" s="177"/>
      <c r="O20" s="176"/>
      <c r="P20" s="180"/>
      <c r="Q20" s="177"/>
      <c r="S20" s="176"/>
      <c r="T20" s="180"/>
      <c r="U20" s="177"/>
      <c r="W20" s="176"/>
      <c r="X20" s="177"/>
      <c r="Z20" s="176"/>
      <c r="AA20" s="177"/>
      <c r="AC20" s="176"/>
      <c r="AD20" s="180"/>
      <c r="AE20" s="177"/>
    </row>
    <row r="21" spans="1:31" ht="74.25" customHeight="1">
      <c r="A21" s="178"/>
      <c r="B21" s="179"/>
      <c r="D21" s="178"/>
      <c r="E21" s="181"/>
      <c r="F21" s="181"/>
      <c r="G21" s="181"/>
      <c r="H21" s="181"/>
      <c r="I21" s="181"/>
      <c r="J21" s="181"/>
      <c r="K21" s="181"/>
      <c r="L21" s="181"/>
      <c r="M21" s="179"/>
      <c r="O21" s="178"/>
      <c r="P21" s="181"/>
      <c r="Q21" s="179"/>
      <c r="S21" s="178"/>
      <c r="T21" s="181"/>
      <c r="U21" s="179"/>
      <c r="W21" s="178"/>
      <c r="X21" s="179"/>
      <c r="Z21" s="178"/>
      <c r="AA21" s="179"/>
      <c r="AC21" s="178"/>
      <c r="AD21" s="181"/>
      <c r="AE21" s="179"/>
    </row>
    <row r="22" spans="1:31" ht="15.75" customHeight="1"/>
    <row r="23" spans="1:31" ht="15.75" customHeight="1">
      <c r="A23" s="1" t="s">
        <v>16</v>
      </c>
      <c r="D23" s="1" t="s">
        <v>17</v>
      </c>
      <c r="O23" s="1" t="s">
        <v>18</v>
      </c>
      <c r="S23" s="1" t="s">
        <v>19</v>
      </c>
      <c r="W23" s="1" t="s">
        <v>20</v>
      </c>
      <c r="Z23" s="1" t="s">
        <v>21</v>
      </c>
      <c r="AC23" s="1" t="s">
        <v>22</v>
      </c>
    </row>
    <row r="24" spans="1:31" ht="15.75" customHeight="1">
      <c r="A24" s="188">
        <v>40</v>
      </c>
      <c r="B24" s="177"/>
      <c r="D24" s="189" t="s">
        <v>30</v>
      </c>
      <c r="E24" s="180"/>
      <c r="F24" s="180"/>
      <c r="G24" s="180"/>
      <c r="H24" s="180"/>
      <c r="I24" s="180"/>
      <c r="J24" s="180"/>
      <c r="K24" s="180"/>
      <c r="L24" s="180"/>
      <c r="M24" s="177"/>
      <c r="O24" s="176"/>
      <c r="P24" s="180"/>
      <c r="Q24" s="177"/>
      <c r="S24" s="176"/>
      <c r="T24" s="180"/>
      <c r="U24" s="177"/>
      <c r="W24" s="176"/>
      <c r="X24" s="177"/>
      <c r="Z24" s="176"/>
      <c r="AA24" s="177"/>
      <c r="AC24" s="176"/>
      <c r="AD24" s="180"/>
      <c r="AE24" s="177"/>
    </row>
    <row r="25" spans="1:31" ht="30.75" customHeight="1">
      <c r="A25" s="178"/>
      <c r="B25" s="179"/>
      <c r="D25" s="178"/>
      <c r="E25" s="181"/>
      <c r="F25" s="181"/>
      <c r="G25" s="181"/>
      <c r="H25" s="181"/>
      <c r="I25" s="181"/>
      <c r="J25" s="181"/>
      <c r="K25" s="181"/>
      <c r="L25" s="181"/>
      <c r="M25" s="179"/>
      <c r="O25" s="178"/>
      <c r="P25" s="181"/>
      <c r="Q25" s="179"/>
      <c r="S25" s="178"/>
      <c r="T25" s="181"/>
      <c r="U25" s="179"/>
      <c r="W25" s="178"/>
      <c r="X25" s="179"/>
      <c r="Z25" s="178"/>
      <c r="AA25" s="179"/>
      <c r="AC25" s="178"/>
      <c r="AD25" s="181"/>
      <c r="AE25" s="179"/>
    </row>
    <row r="26" spans="1:31" ht="15.75" customHeight="1"/>
    <row r="27" spans="1:31" ht="15.75" customHeight="1">
      <c r="A27" s="1" t="s">
        <v>16</v>
      </c>
      <c r="D27" s="1" t="s">
        <v>17</v>
      </c>
      <c r="O27" s="1" t="s">
        <v>18</v>
      </c>
      <c r="S27" s="1" t="s">
        <v>19</v>
      </c>
      <c r="W27" s="1" t="s">
        <v>20</v>
      </c>
      <c r="Z27" s="1" t="s">
        <v>21</v>
      </c>
      <c r="AC27" s="1" t="s">
        <v>22</v>
      </c>
    </row>
    <row r="28" spans="1:31" ht="15.75" customHeight="1">
      <c r="A28" s="188">
        <v>50</v>
      </c>
      <c r="B28" s="177"/>
      <c r="D28" s="189" t="s">
        <v>31</v>
      </c>
      <c r="E28" s="180"/>
      <c r="F28" s="180"/>
      <c r="G28" s="180"/>
      <c r="H28" s="180"/>
      <c r="I28" s="180"/>
      <c r="J28" s="180"/>
      <c r="K28" s="180"/>
      <c r="L28" s="180"/>
      <c r="M28" s="177"/>
      <c r="O28" s="176"/>
      <c r="P28" s="180"/>
      <c r="Q28" s="177"/>
      <c r="S28" s="176"/>
      <c r="T28" s="180"/>
      <c r="U28" s="177"/>
      <c r="W28" s="176"/>
      <c r="X28" s="177"/>
      <c r="Z28" s="176"/>
      <c r="AA28" s="177"/>
      <c r="AC28" s="176"/>
      <c r="AD28" s="180"/>
      <c r="AE28" s="177"/>
    </row>
    <row r="29" spans="1:31" ht="52.5" customHeight="1">
      <c r="A29" s="178"/>
      <c r="B29" s="179"/>
      <c r="D29" s="178"/>
      <c r="E29" s="181"/>
      <c r="F29" s="181"/>
      <c r="G29" s="181"/>
      <c r="H29" s="181"/>
      <c r="I29" s="181"/>
      <c r="J29" s="181"/>
      <c r="K29" s="181"/>
      <c r="L29" s="181"/>
      <c r="M29" s="179"/>
      <c r="O29" s="178"/>
      <c r="P29" s="181"/>
      <c r="Q29" s="179"/>
      <c r="S29" s="178"/>
      <c r="T29" s="181"/>
      <c r="U29" s="179"/>
      <c r="W29" s="178"/>
      <c r="X29" s="179"/>
      <c r="Z29" s="178"/>
      <c r="AA29" s="179"/>
      <c r="AC29" s="178"/>
      <c r="AD29" s="181"/>
      <c r="AE29" s="179"/>
    </row>
    <row r="30" spans="1:31" ht="18" customHeight="1"/>
    <row r="31" spans="1:31" ht="31.5" customHeight="1">
      <c r="A31" s="1" t="s">
        <v>16</v>
      </c>
      <c r="D31" s="1" t="s">
        <v>17</v>
      </c>
      <c r="O31" s="1" t="s">
        <v>18</v>
      </c>
      <c r="S31" s="1" t="s">
        <v>19</v>
      </c>
      <c r="W31" s="1" t="s">
        <v>20</v>
      </c>
      <c r="Z31" s="1" t="s">
        <v>21</v>
      </c>
      <c r="AC31" s="1" t="s">
        <v>22</v>
      </c>
    </row>
    <row r="32" spans="1:31" ht="15.75" customHeight="1">
      <c r="A32" s="188">
        <v>60</v>
      </c>
      <c r="B32" s="177"/>
      <c r="D32" s="189" t="s">
        <v>32</v>
      </c>
      <c r="E32" s="180"/>
      <c r="F32" s="180"/>
      <c r="G32" s="180"/>
      <c r="H32" s="180"/>
      <c r="I32" s="180"/>
      <c r="J32" s="180"/>
      <c r="K32" s="180"/>
      <c r="L32" s="180"/>
      <c r="M32" s="177"/>
      <c r="O32" s="176"/>
      <c r="P32" s="180"/>
      <c r="Q32" s="177"/>
      <c r="S32" s="176"/>
      <c r="T32" s="180"/>
      <c r="U32" s="177"/>
      <c r="W32" s="176"/>
      <c r="X32" s="177"/>
      <c r="Z32" s="176"/>
      <c r="AA32" s="177"/>
      <c r="AC32" s="176"/>
      <c r="AD32" s="180"/>
      <c r="AE32" s="177"/>
    </row>
    <row r="33" spans="1:31" ht="141.75" customHeight="1">
      <c r="A33" s="178"/>
      <c r="B33" s="179"/>
      <c r="D33" s="178"/>
      <c r="E33" s="181"/>
      <c r="F33" s="181"/>
      <c r="G33" s="181"/>
      <c r="H33" s="181"/>
      <c r="I33" s="181"/>
      <c r="J33" s="181"/>
      <c r="K33" s="181"/>
      <c r="L33" s="181"/>
      <c r="M33" s="179"/>
      <c r="O33" s="178"/>
      <c r="P33" s="181"/>
      <c r="Q33" s="179"/>
      <c r="S33" s="178"/>
      <c r="T33" s="181"/>
      <c r="U33" s="179"/>
      <c r="W33" s="178"/>
      <c r="X33" s="179"/>
      <c r="Z33" s="178"/>
      <c r="AA33" s="179"/>
      <c r="AC33" s="178"/>
      <c r="AD33" s="181"/>
      <c r="AE33" s="179"/>
    </row>
    <row r="34" spans="1:31" ht="15.75" customHeight="1"/>
    <row r="35" spans="1:31" ht="15.75" customHeight="1">
      <c r="A35" s="1" t="s">
        <v>16</v>
      </c>
      <c r="D35" s="1" t="s">
        <v>17</v>
      </c>
      <c r="O35" s="1" t="s">
        <v>18</v>
      </c>
      <c r="S35" s="1" t="s">
        <v>19</v>
      </c>
      <c r="W35" s="1" t="s">
        <v>20</v>
      </c>
      <c r="Z35" s="1" t="s">
        <v>21</v>
      </c>
      <c r="AC35" s="1" t="s">
        <v>22</v>
      </c>
    </row>
    <row r="36" spans="1:31" ht="15.75" customHeight="1">
      <c r="A36" s="188">
        <v>51</v>
      </c>
      <c r="B36" s="177"/>
      <c r="D36" s="189" t="s">
        <v>33</v>
      </c>
      <c r="E36" s="180"/>
      <c r="F36" s="180"/>
      <c r="G36" s="180"/>
      <c r="H36" s="180"/>
      <c r="I36" s="180"/>
      <c r="J36" s="180"/>
      <c r="K36" s="180"/>
      <c r="L36" s="180"/>
      <c r="M36" s="177"/>
      <c r="O36" s="176"/>
      <c r="P36" s="180"/>
      <c r="Q36" s="177"/>
      <c r="S36" s="176"/>
      <c r="T36" s="180"/>
      <c r="U36" s="177"/>
      <c r="W36" s="176"/>
      <c r="X36" s="177"/>
      <c r="Z36" s="176"/>
      <c r="AA36" s="177"/>
      <c r="AC36" s="176"/>
      <c r="AD36" s="180"/>
      <c r="AE36" s="177"/>
    </row>
    <row r="37" spans="1:31" ht="69" customHeight="1">
      <c r="A37" s="178"/>
      <c r="B37" s="179"/>
      <c r="D37" s="178"/>
      <c r="E37" s="181"/>
      <c r="F37" s="181"/>
      <c r="G37" s="181"/>
      <c r="H37" s="181"/>
      <c r="I37" s="181"/>
      <c r="J37" s="181"/>
      <c r="K37" s="181"/>
      <c r="L37" s="181"/>
      <c r="M37" s="179"/>
      <c r="O37" s="178"/>
      <c r="P37" s="181"/>
      <c r="Q37" s="179"/>
      <c r="S37" s="178"/>
      <c r="T37" s="181"/>
      <c r="U37" s="179"/>
      <c r="W37" s="178"/>
      <c r="X37" s="179"/>
      <c r="Z37" s="178"/>
      <c r="AA37" s="179"/>
      <c r="AC37" s="178"/>
      <c r="AD37" s="181"/>
      <c r="AE37" s="179"/>
    </row>
    <row r="38" spans="1:31" ht="15.75" customHeight="1"/>
    <row r="39" spans="1:31" ht="15.75" customHeight="1">
      <c r="A39" s="1" t="s">
        <v>16</v>
      </c>
      <c r="D39" s="1" t="s">
        <v>17</v>
      </c>
      <c r="O39" s="1" t="s">
        <v>18</v>
      </c>
      <c r="S39" s="1" t="s">
        <v>19</v>
      </c>
      <c r="W39" s="1" t="s">
        <v>20</v>
      </c>
      <c r="Z39" s="1" t="s">
        <v>21</v>
      </c>
      <c r="AC39" s="1" t="s">
        <v>22</v>
      </c>
    </row>
    <row r="40" spans="1:31" ht="15.75" customHeight="1">
      <c r="A40" s="188">
        <v>61</v>
      </c>
      <c r="B40" s="177"/>
      <c r="D40" s="189" t="s">
        <v>34</v>
      </c>
      <c r="E40" s="180"/>
      <c r="F40" s="180"/>
      <c r="G40" s="180"/>
      <c r="H40" s="180"/>
      <c r="I40" s="180"/>
      <c r="J40" s="180"/>
      <c r="K40" s="180"/>
      <c r="L40" s="180"/>
      <c r="M40" s="177"/>
      <c r="O40" s="176"/>
      <c r="P40" s="180"/>
      <c r="Q40" s="177"/>
      <c r="S40" s="176"/>
      <c r="T40" s="180"/>
      <c r="U40" s="177"/>
      <c r="W40" s="176"/>
      <c r="X40" s="177"/>
      <c r="Z40" s="176"/>
      <c r="AA40" s="177"/>
      <c r="AC40" s="176"/>
      <c r="AD40" s="180"/>
      <c r="AE40" s="177"/>
    </row>
    <row r="41" spans="1:31" ht="133.5" customHeight="1">
      <c r="A41" s="178"/>
      <c r="B41" s="179"/>
      <c r="D41" s="178"/>
      <c r="E41" s="181"/>
      <c r="F41" s="181"/>
      <c r="G41" s="181"/>
      <c r="H41" s="181"/>
      <c r="I41" s="181"/>
      <c r="J41" s="181"/>
      <c r="K41" s="181"/>
      <c r="L41" s="181"/>
      <c r="M41" s="179"/>
      <c r="O41" s="178"/>
      <c r="P41" s="181"/>
      <c r="Q41" s="179"/>
      <c r="S41" s="178"/>
      <c r="T41" s="181"/>
      <c r="U41" s="179"/>
      <c r="W41" s="178"/>
      <c r="X41" s="179"/>
      <c r="Z41" s="178"/>
      <c r="AA41" s="179"/>
      <c r="AC41" s="178"/>
      <c r="AD41" s="181"/>
      <c r="AE41" s="179"/>
    </row>
    <row r="42" spans="1:31" ht="15.75" customHeight="1"/>
    <row r="43" spans="1:31" ht="15.75" customHeight="1">
      <c r="A43" s="1" t="s">
        <v>16</v>
      </c>
      <c r="D43" s="1" t="s">
        <v>17</v>
      </c>
      <c r="O43" s="1" t="s">
        <v>18</v>
      </c>
      <c r="S43" s="1" t="s">
        <v>19</v>
      </c>
      <c r="W43" s="1" t="s">
        <v>20</v>
      </c>
      <c r="Z43" s="1" t="s">
        <v>21</v>
      </c>
      <c r="AC43" s="1" t="s">
        <v>22</v>
      </c>
    </row>
    <row r="44" spans="1:31" ht="15.75" customHeight="1">
      <c r="A44" s="188">
        <v>61</v>
      </c>
      <c r="B44" s="177"/>
      <c r="D44" s="189" t="s">
        <v>35</v>
      </c>
      <c r="E44" s="180"/>
      <c r="F44" s="180"/>
      <c r="G44" s="180"/>
      <c r="H44" s="180"/>
      <c r="I44" s="180"/>
      <c r="J44" s="180"/>
      <c r="K44" s="180"/>
      <c r="L44" s="180"/>
      <c r="M44" s="177"/>
      <c r="O44" s="190"/>
      <c r="P44" s="180"/>
      <c r="Q44" s="177"/>
      <c r="S44" s="190"/>
      <c r="T44" s="180"/>
      <c r="U44" s="177"/>
      <c r="W44" s="190"/>
      <c r="X44" s="177"/>
      <c r="Z44" s="176"/>
      <c r="AA44" s="177"/>
      <c r="AC44" s="176"/>
      <c r="AD44" s="180"/>
      <c r="AE44" s="177"/>
    </row>
    <row r="45" spans="1:31" ht="30" customHeight="1">
      <c r="A45" s="178"/>
      <c r="B45" s="179"/>
      <c r="D45" s="178"/>
      <c r="E45" s="181"/>
      <c r="F45" s="181"/>
      <c r="G45" s="181"/>
      <c r="H45" s="181"/>
      <c r="I45" s="181"/>
      <c r="J45" s="181"/>
      <c r="K45" s="181"/>
      <c r="L45" s="181"/>
      <c r="M45" s="179"/>
      <c r="O45" s="178"/>
      <c r="P45" s="181"/>
      <c r="Q45" s="179"/>
      <c r="S45" s="178"/>
      <c r="T45" s="181"/>
      <c r="U45" s="179"/>
      <c r="W45" s="178"/>
      <c r="X45" s="179"/>
      <c r="Z45" s="178"/>
      <c r="AA45" s="179"/>
      <c r="AC45" s="178"/>
      <c r="AD45" s="181"/>
      <c r="AE45" s="179"/>
    </row>
    <row r="46" spans="1:31" ht="15.75" customHeight="1"/>
    <row r="47" spans="1:31" ht="15.75" customHeight="1"/>
    <row r="48" spans="1:3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Z20:AA21"/>
    <mergeCell ref="AC20:AE21"/>
    <mergeCell ref="A24:B25"/>
    <mergeCell ref="D24:M25"/>
    <mergeCell ref="O24:Q25"/>
    <mergeCell ref="S24:U25"/>
    <mergeCell ref="W24:X25"/>
    <mergeCell ref="Z24:AA25"/>
    <mergeCell ref="AC24:AE25"/>
    <mergeCell ref="A20:B21"/>
    <mergeCell ref="D20:M21"/>
    <mergeCell ref="O20:Q21"/>
    <mergeCell ref="S20:U21"/>
    <mergeCell ref="W20:X21"/>
    <mergeCell ref="AC28:AE29"/>
    <mergeCell ref="A32:B33"/>
    <mergeCell ref="D32:M33"/>
    <mergeCell ref="O32:Q33"/>
    <mergeCell ref="S32:U33"/>
    <mergeCell ref="W32:X33"/>
    <mergeCell ref="Z32:AA33"/>
    <mergeCell ref="AC32:AE33"/>
    <mergeCell ref="A28:B29"/>
    <mergeCell ref="D28:M29"/>
    <mergeCell ref="O28:Q29"/>
    <mergeCell ref="S28:U29"/>
    <mergeCell ref="W28:X29"/>
    <mergeCell ref="A36:B37"/>
    <mergeCell ref="D36:M37"/>
    <mergeCell ref="O36:Q37"/>
    <mergeCell ref="S36:U37"/>
    <mergeCell ref="W36:X37"/>
    <mergeCell ref="A40:B41"/>
    <mergeCell ref="D40:M41"/>
    <mergeCell ref="O40:Q41"/>
    <mergeCell ref="S40:U41"/>
    <mergeCell ref="W40:X41"/>
    <mergeCell ref="M3:N3"/>
    <mergeCell ref="O3:X3"/>
    <mergeCell ref="C2:L2"/>
    <mergeCell ref="M2:N2"/>
    <mergeCell ref="O2:R2"/>
    <mergeCell ref="U2:X2"/>
    <mergeCell ref="E3:L3"/>
    <mergeCell ref="A6:D6"/>
    <mergeCell ref="E6:L6"/>
    <mergeCell ref="O6:R6"/>
    <mergeCell ref="S6:U6"/>
    <mergeCell ref="V6:AE6"/>
    <mergeCell ref="A7:D7"/>
    <mergeCell ref="E7:L7"/>
    <mergeCell ref="V7:AE7"/>
    <mergeCell ref="O7:R7"/>
    <mergeCell ref="S7:U7"/>
    <mergeCell ref="F8:L8"/>
    <mergeCell ref="T8:AE8"/>
    <mergeCell ref="F9:I9"/>
    <mergeCell ref="M9:Q9"/>
    <mergeCell ref="V9:AE9"/>
    <mergeCell ref="A12:B13"/>
    <mergeCell ref="D12:M13"/>
    <mergeCell ref="O12:Q13"/>
    <mergeCell ref="S12:U13"/>
    <mergeCell ref="W12:X13"/>
    <mergeCell ref="A16:B17"/>
    <mergeCell ref="D16:M17"/>
    <mergeCell ref="O16:Q17"/>
    <mergeCell ref="S16:U17"/>
    <mergeCell ref="W16:X17"/>
    <mergeCell ref="A44:B45"/>
    <mergeCell ref="D44:M45"/>
    <mergeCell ref="O44:Q45"/>
    <mergeCell ref="S44:U45"/>
    <mergeCell ref="W44:X45"/>
    <mergeCell ref="Z44:AA45"/>
    <mergeCell ref="AC44:AE45"/>
    <mergeCell ref="Y2:Z2"/>
    <mergeCell ref="AA2:AC2"/>
    <mergeCell ref="AD2:AE2"/>
    <mergeCell ref="Z12:AA13"/>
    <mergeCell ref="AC12:AE13"/>
    <mergeCell ref="Z16:AA17"/>
    <mergeCell ref="AC16:AE17"/>
    <mergeCell ref="Y3:AC3"/>
    <mergeCell ref="AD3:AE3"/>
    <mergeCell ref="Z36:AA37"/>
    <mergeCell ref="AC36:AE37"/>
    <mergeCell ref="Z40:AA41"/>
    <mergeCell ref="AC40:AE41"/>
    <mergeCell ref="Z28:AA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9a6cb5-8418-4215-9142-96955915ee6e" xsi:nil="true"/>
    <lcf76f155ced4ddcb4097134ff3c332f xmlns="519f74bd-2102-41b9-9ad3-f18adbbce14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B590C9E756048996E964CAAC9A6B1" ma:contentTypeVersion="15" ma:contentTypeDescription="Create a new document." ma:contentTypeScope="" ma:versionID="fb0ea0bb7e635e34440ba785b408a169">
  <xsd:schema xmlns:xsd="http://www.w3.org/2001/XMLSchema" xmlns:xs="http://www.w3.org/2001/XMLSchema" xmlns:p="http://schemas.microsoft.com/office/2006/metadata/properties" xmlns:ns2="519f74bd-2102-41b9-9ad3-f18adbbce149" xmlns:ns3="589a6cb5-8418-4215-9142-96955915ee6e" targetNamespace="http://schemas.microsoft.com/office/2006/metadata/properties" ma:root="true" ma:fieldsID="4e004b72f730a27ea654b40fc833016a" ns2:_="" ns3:_="">
    <xsd:import namespace="519f74bd-2102-41b9-9ad3-f18adbbce149"/>
    <xsd:import namespace="589a6cb5-8418-4215-9142-96955915ee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f74bd-2102-41b9-9ad3-f18adbbce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20a7622-27ac-4a50-99da-32dcf257ba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a6cb5-8418-4215-9142-96955915ee6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a29bd7-c1ed-46d4-9879-625d36092b7f}" ma:internalName="TaxCatchAll" ma:showField="CatchAllData" ma:web="589a6cb5-8418-4215-9142-96955915ee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E39613-0CB1-488A-A08D-0BA731692677}">
  <ds:schemaRefs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89a6cb5-8418-4215-9142-96955915ee6e"/>
    <ds:schemaRef ds:uri="519f74bd-2102-41b9-9ad3-f18adbbce149"/>
  </ds:schemaRefs>
</ds:datastoreItem>
</file>

<file path=customXml/itemProps2.xml><?xml version="1.0" encoding="utf-8"?>
<ds:datastoreItem xmlns:ds="http://schemas.openxmlformats.org/officeDocument/2006/customXml" ds:itemID="{31CD5976-261D-47BA-BD19-D950570DA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f74bd-2102-41b9-9ad3-f18adbbce149"/>
    <ds:schemaRef ds:uri="589a6cb5-8418-4215-9142-96955915ee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6C4648-6C94-48BB-9FE9-D22D289F2D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Part 555</vt:lpstr>
      <vt:lpstr>Program sheet</vt:lpstr>
      <vt:lpstr>Sheet1</vt:lpstr>
      <vt:lpstr>Mat types</vt:lpstr>
      <vt:lpstr>12202024-3</vt:lpstr>
      <vt:lpstr>'Part 555'!Print_Area</vt:lpstr>
      <vt:lpstr>'Program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TVM Service</cp:lastModifiedBy>
  <cp:lastPrinted>2026-08-05T22:15:17Z</cp:lastPrinted>
  <dcterms:created xsi:type="dcterms:W3CDTF">2023-07-13T15:00:13Z</dcterms:created>
  <dcterms:modified xsi:type="dcterms:W3CDTF">2026-08-05T22:15:27Z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0x010100315B590C9E756048996E964CAAC9A6B1</vt:lpwstr>
  </property>
  <property fmtid="{D5CDD505-2E9C-101B-9397-08002B2CF9AE}" pid="3" name="MediaServiceImageTags">
    <vt:lpwstr/>
  </property>
</Properties>
</file>